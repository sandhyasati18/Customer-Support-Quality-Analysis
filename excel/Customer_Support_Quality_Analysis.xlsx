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dhya Sati\Downloads\customer-support-quality-analysis\excel\"/>
    </mc:Choice>
  </mc:AlternateContent>
  <xr:revisionPtr revIDLastSave="0" documentId="13_ncr:1_{FBB4338B-89DE-48F1-B93B-7E7DCA30D93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ormulas" sheetId="1" r:id="rId1"/>
    <sheet name="Agents" sheetId="2" r:id="rId2"/>
    <sheet name="Raw Tickets" sheetId="3" r:id="rId3"/>
    <sheet name="Ticket Analysis" sheetId="5" r:id="rId4"/>
    <sheet name="Summary" sheetId="6" r:id="rId5"/>
    <sheet name="Dashboard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01" i="5" l="1"/>
  <c r="S501" i="5" s="1"/>
  <c r="Q501" i="5"/>
  <c r="P501" i="5"/>
  <c r="M501" i="5"/>
  <c r="L501" i="5"/>
  <c r="K501" i="5"/>
  <c r="J501" i="5"/>
  <c r="W501" i="5" s="1"/>
  <c r="I501" i="5"/>
  <c r="V501" i="5" s="1"/>
  <c r="H501" i="5"/>
  <c r="T501" i="5" s="1"/>
  <c r="G501" i="5"/>
  <c r="F501" i="5"/>
  <c r="E501" i="5"/>
  <c r="D501" i="5"/>
  <c r="C501" i="5"/>
  <c r="B501" i="5"/>
  <c r="U501" i="5" s="1"/>
  <c r="A501" i="5"/>
  <c r="T500" i="5"/>
  <c r="R500" i="5"/>
  <c r="S500" i="5" s="1"/>
  <c r="M500" i="5"/>
  <c r="L500" i="5"/>
  <c r="K500" i="5"/>
  <c r="J500" i="5"/>
  <c r="W500" i="5" s="1"/>
  <c r="I500" i="5"/>
  <c r="V500" i="5" s="1"/>
  <c r="H500" i="5"/>
  <c r="G500" i="5"/>
  <c r="F500" i="5"/>
  <c r="E500" i="5"/>
  <c r="D500" i="5"/>
  <c r="C500" i="5"/>
  <c r="B500" i="5"/>
  <c r="U500" i="5" s="1"/>
  <c r="A500" i="5"/>
  <c r="R499" i="5"/>
  <c r="S499" i="5" s="1"/>
  <c r="M499" i="5"/>
  <c r="L499" i="5"/>
  <c r="K499" i="5"/>
  <c r="J499" i="5"/>
  <c r="W499" i="5" s="1"/>
  <c r="I499" i="5"/>
  <c r="V499" i="5" s="1"/>
  <c r="H499" i="5"/>
  <c r="T499" i="5" s="1"/>
  <c r="G499" i="5"/>
  <c r="F499" i="5"/>
  <c r="E499" i="5"/>
  <c r="D499" i="5"/>
  <c r="C499" i="5"/>
  <c r="Q499" i="5" s="1"/>
  <c r="B499" i="5"/>
  <c r="U499" i="5" s="1"/>
  <c r="A499" i="5"/>
  <c r="R498" i="5"/>
  <c r="S498" i="5" s="1"/>
  <c r="P498" i="5"/>
  <c r="M498" i="5"/>
  <c r="L498" i="5"/>
  <c r="K498" i="5"/>
  <c r="J498" i="5"/>
  <c r="W498" i="5" s="1"/>
  <c r="I498" i="5"/>
  <c r="V498" i="5" s="1"/>
  <c r="H498" i="5"/>
  <c r="T498" i="5" s="1"/>
  <c r="G498" i="5"/>
  <c r="F498" i="5"/>
  <c r="E498" i="5"/>
  <c r="D498" i="5"/>
  <c r="C498" i="5"/>
  <c r="Q498" i="5" s="1"/>
  <c r="B498" i="5"/>
  <c r="U498" i="5" s="1"/>
  <c r="A498" i="5"/>
  <c r="R497" i="5"/>
  <c r="S497" i="5" s="1"/>
  <c r="P497" i="5"/>
  <c r="M497" i="5"/>
  <c r="L497" i="5"/>
  <c r="K497" i="5"/>
  <c r="J497" i="5"/>
  <c r="W497" i="5" s="1"/>
  <c r="I497" i="5"/>
  <c r="V497" i="5" s="1"/>
  <c r="H497" i="5"/>
  <c r="T497" i="5" s="1"/>
  <c r="G497" i="5"/>
  <c r="F497" i="5"/>
  <c r="E497" i="5"/>
  <c r="D497" i="5"/>
  <c r="C497" i="5"/>
  <c r="B497" i="5"/>
  <c r="U497" i="5" s="1"/>
  <c r="A497" i="5"/>
  <c r="R496" i="5"/>
  <c r="S496" i="5" s="1"/>
  <c r="P496" i="5"/>
  <c r="M496" i="5"/>
  <c r="L496" i="5"/>
  <c r="K496" i="5"/>
  <c r="J496" i="5"/>
  <c r="W496" i="5" s="1"/>
  <c r="I496" i="5"/>
  <c r="V496" i="5" s="1"/>
  <c r="H496" i="5"/>
  <c r="T496" i="5" s="1"/>
  <c r="G496" i="5"/>
  <c r="F496" i="5"/>
  <c r="E496" i="5"/>
  <c r="D496" i="5"/>
  <c r="C496" i="5"/>
  <c r="Q496" i="5" s="1"/>
  <c r="B496" i="5"/>
  <c r="U496" i="5" s="1"/>
  <c r="A496" i="5"/>
  <c r="R495" i="5"/>
  <c r="S495" i="5" s="1"/>
  <c r="Q495" i="5"/>
  <c r="M495" i="5"/>
  <c r="L495" i="5"/>
  <c r="K495" i="5"/>
  <c r="J495" i="5"/>
  <c r="W495" i="5" s="1"/>
  <c r="I495" i="5"/>
  <c r="V495" i="5" s="1"/>
  <c r="H495" i="5"/>
  <c r="T495" i="5" s="1"/>
  <c r="G495" i="5"/>
  <c r="F495" i="5"/>
  <c r="E495" i="5"/>
  <c r="D495" i="5"/>
  <c r="C495" i="5"/>
  <c r="B495" i="5"/>
  <c r="U495" i="5" s="1"/>
  <c r="A495" i="5"/>
  <c r="T494" i="5"/>
  <c r="R494" i="5"/>
  <c r="S494" i="5" s="1"/>
  <c r="Q494" i="5"/>
  <c r="P494" i="5"/>
  <c r="M494" i="5"/>
  <c r="L494" i="5"/>
  <c r="K494" i="5"/>
  <c r="J494" i="5"/>
  <c r="W494" i="5" s="1"/>
  <c r="I494" i="5"/>
  <c r="V494" i="5" s="1"/>
  <c r="H494" i="5"/>
  <c r="G494" i="5"/>
  <c r="F494" i="5"/>
  <c r="E494" i="5"/>
  <c r="D494" i="5"/>
  <c r="C494" i="5"/>
  <c r="B494" i="5"/>
  <c r="U494" i="5" s="1"/>
  <c r="A494" i="5"/>
  <c r="T493" i="5"/>
  <c r="R493" i="5"/>
  <c r="S493" i="5" s="1"/>
  <c r="Q493" i="5"/>
  <c r="P493" i="5"/>
  <c r="M493" i="5"/>
  <c r="L493" i="5"/>
  <c r="K493" i="5"/>
  <c r="J493" i="5"/>
  <c r="W493" i="5" s="1"/>
  <c r="I493" i="5"/>
  <c r="V493" i="5" s="1"/>
  <c r="H493" i="5"/>
  <c r="G493" i="5"/>
  <c r="F493" i="5"/>
  <c r="E493" i="5"/>
  <c r="D493" i="5"/>
  <c r="C493" i="5"/>
  <c r="B493" i="5"/>
  <c r="U493" i="5" s="1"/>
  <c r="A493" i="5"/>
  <c r="R492" i="5"/>
  <c r="S492" i="5" s="1"/>
  <c r="Q492" i="5"/>
  <c r="M492" i="5"/>
  <c r="L492" i="5"/>
  <c r="K492" i="5"/>
  <c r="J492" i="5"/>
  <c r="W492" i="5" s="1"/>
  <c r="I492" i="5"/>
  <c r="V492" i="5" s="1"/>
  <c r="H492" i="5"/>
  <c r="T492" i="5" s="1"/>
  <c r="G492" i="5"/>
  <c r="F492" i="5"/>
  <c r="E492" i="5"/>
  <c r="D492" i="5"/>
  <c r="C492" i="5"/>
  <c r="B492" i="5"/>
  <c r="U492" i="5" s="1"/>
  <c r="A492" i="5"/>
  <c r="R491" i="5"/>
  <c r="S491" i="5" s="1"/>
  <c r="M491" i="5"/>
  <c r="L491" i="5"/>
  <c r="K491" i="5"/>
  <c r="J491" i="5"/>
  <c r="W491" i="5" s="1"/>
  <c r="I491" i="5"/>
  <c r="V491" i="5" s="1"/>
  <c r="H491" i="5"/>
  <c r="T491" i="5" s="1"/>
  <c r="G491" i="5"/>
  <c r="F491" i="5"/>
  <c r="E491" i="5"/>
  <c r="D491" i="5"/>
  <c r="C491" i="5"/>
  <c r="Q491" i="5" s="1"/>
  <c r="B491" i="5"/>
  <c r="U491" i="5" s="1"/>
  <c r="A491" i="5"/>
  <c r="T490" i="5"/>
  <c r="R490" i="5"/>
  <c r="S490" i="5" s="1"/>
  <c r="P490" i="5"/>
  <c r="M490" i="5"/>
  <c r="L490" i="5"/>
  <c r="K490" i="5"/>
  <c r="J490" i="5"/>
  <c r="W490" i="5" s="1"/>
  <c r="I490" i="5"/>
  <c r="V490" i="5" s="1"/>
  <c r="H490" i="5"/>
  <c r="G490" i="5"/>
  <c r="F490" i="5"/>
  <c r="E490" i="5"/>
  <c r="D490" i="5"/>
  <c r="C490" i="5"/>
  <c r="Q490" i="5" s="1"/>
  <c r="B490" i="5"/>
  <c r="U490" i="5" s="1"/>
  <c r="A490" i="5"/>
  <c r="R489" i="5"/>
  <c r="S489" i="5" s="1"/>
  <c r="P489" i="5"/>
  <c r="M489" i="5"/>
  <c r="L489" i="5"/>
  <c r="K489" i="5"/>
  <c r="J489" i="5"/>
  <c r="W489" i="5" s="1"/>
  <c r="I489" i="5"/>
  <c r="V489" i="5" s="1"/>
  <c r="H489" i="5"/>
  <c r="T489" i="5" s="1"/>
  <c r="G489" i="5"/>
  <c r="F489" i="5"/>
  <c r="E489" i="5"/>
  <c r="D489" i="5"/>
  <c r="C489" i="5"/>
  <c r="B489" i="5"/>
  <c r="U489" i="5" s="1"/>
  <c r="A489" i="5"/>
  <c r="R488" i="5"/>
  <c r="S488" i="5" s="1"/>
  <c r="P488" i="5"/>
  <c r="N488" i="5"/>
  <c r="M488" i="5"/>
  <c r="L488" i="5"/>
  <c r="K488" i="5"/>
  <c r="J488" i="5"/>
  <c r="W488" i="5" s="1"/>
  <c r="I488" i="5"/>
  <c r="V488" i="5" s="1"/>
  <c r="H488" i="5"/>
  <c r="T488" i="5" s="1"/>
  <c r="G488" i="5"/>
  <c r="F488" i="5"/>
  <c r="E488" i="5"/>
  <c r="D488" i="5"/>
  <c r="C488" i="5"/>
  <c r="O488" i="5" s="1"/>
  <c r="B488" i="5"/>
  <c r="U488" i="5" s="1"/>
  <c r="A488" i="5"/>
  <c r="V487" i="5"/>
  <c r="Q487" i="5"/>
  <c r="P487" i="5"/>
  <c r="N487" i="5"/>
  <c r="M487" i="5"/>
  <c r="L487" i="5"/>
  <c r="K487" i="5"/>
  <c r="J487" i="5"/>
  <c r="W487" i="5" s="1"/>
  <c r="I487" i="5"/>
  <c r="H487" i="5"/>
  <c r="T487" i="5" s="1"/>
  <c r="G487" i="5"/>
  <c r="F487" i="5"/>
  <c r="R487" i="5" s="1"/>
  <c r="S487" i="5" s="1"/>
  <c r="E487" i="5"/>
  <c r="D487" i="5"/>
  <c r="C487" i="5"/>
  <c r="O487" i="5" s="1"/>
  <c r="B487" i="5"/>
  <c r="U487" i="5" s="1"/>
  <c r="A487" i="5"/>
  <c r="V486" i="5"/>
  <c r="R486" i="5"/>
  <c r="S486" i="5" s="1"/>
  <c r="Q486" i="5"/>
  <c r="P486" i="5"/>
  <c r="M486" i="5"/>
  <c r="L486" i="5"/>
  <c r="K486" i="5"/>
  <c r="J486" i="5"/>
  <c r="W486" i="5" s="1"/>
  <c r="I486" i="5"/>
  <c r="H486" i="5"/>
  <c r="T486" i="5" s="1"/>
  <c r="G486" i="5"/>
  <c r="F486" i="5"/>
  <c r="E486" i="5"/>
  <c r="D486" i="5"/>
  <c r="C486" i="5"/>
  <c r="O486" i="5" s="1"/>
  <c r="B486" i="5"/>
  <c r="U486" i="5" s="1"/>
  <c r="A486" i="5"/>
  <c r="V485" i="5"/>
  <c r="R485" i="5"/>
  <c r="S485" i="5" s="1"/>
  <c r="Q485" i="5"/>
  <c r="N485" i="5"/>
  <c r="M485" i="5"/>
  <c r="L485" i="5"/>
  <c r="K485" i="5"/>
  <c r="J485" i="5"/>
  <c r="W485" i="5" s="1"/>
  <c r="I485" i="5"/>
  <c r="H485" i="5"/>
  <c r="T485" i="5" s="1"/>
  <c r="G485" i="5"/>
  <c r="F485" i="5"/>
  <c r="E485" i="5"/>
  <c r="D485" i="5"/>
  <c r="C485" i="5"/>
  <c r="O485" i="5" s="1"/>
  <c r="B485" i="5"/>
  <c r="U485" i="5" s="1"/>
  <c r="A485" i="5"/>
  <c r="S484" i="5"/>
  <c r="R484" i="5"/>
  <c r="Q484" i="5"/>
  <c r="P484" i="5"/>
  <c r="N484" i="5"/>
  <c r="M484" i="5"/>
  <c r="L484" i="5"/>
  <c r="K484" i="5"/>
  <c r="J484" i="5"/>
  <c r="W484" i="5" s="1"/>
  <c r="I484" i="5"/>
  <c r="V484" i="5" s="1"/>
  <c r="H484" i="5"/>
  <c r="T484" i="5" s="1"/>
  <c r="G484" i="5"/>
  <c r="F484" i="5"/>
  <c r="E484" i="5"/>
  <c r="D484" i="5"/>
  <c r="C484" i="5"/>
  <c r="O484" i="5" s="1"/>
  <c r="B484" i="5"/>
  <c r="U484" i="5" s="1"/>
  <c r="A484" i="5"/>
  <c r="V483" i="5"/>
  <c r="Q483" i="5"/>
  <c r="P483" i="5"/>
  <c r="N483" i="5"/>
  <c r="M483" i="5"/>
  <c r="L483" i="5"/>
  <c r="K483" i="5"/>
  <c r="J483" i="5"/>
  <c r="W483" i="5" s="1"/>
  <c r="I483" i="5"/>
  <c r="H483" i="5"/>
  <c r="T483" i="5" s="1"/>
  <c r="G483" i="5"/>
  <c r="F483" i="5"/>
  <c r="R483" i="5" s="1"/>
  <c r="S483" i="5" s="1"/>
  <c r="E483" i="5"/>
  <c r="D483" i="5"/>
  <c r="C483" i="5"/>
  <c r="O483" i="5" s="1"/>
  <c r="B483" i="5"/>
  <c r="U483" i="5" s="1"/>
  <c r="A483" i="5"/>
  <c r="V482" i="5"/>
  <c r="R482" i="5"/>
  <c r="S482" i="5" s="1"/>
  <c r="Q482" i="5"/>
  <c r="P482" i="5"/>
  <c r="M482" i="5"/>
  <c r="L482" i="5"/>
  <c r="K482" i="5"/>
  <c r="J482" i="5"/>
  <c r="W482" i="5" s="1"/>
  <c r="I482" i="5"/>
  <c r="H482" i="5"/>
  <c r="T482" i="5" s="1"/>
  <c r="G482" i="5"/>
  <c r="F482" i="5"/>
  <c r="E482" i="5"/>
  <c r="D482" i="5"/>
  <c r="C482" i="5"/>
  <c r="O482" i="5" s="1"/>
  <c r="B482" i="5"/>
  <c r="U482" i="5" s="1"/>
  <c r="A482" i="5"/>
  <c r="V481" i="5"/>
  <c r="S481" i="5"/>
  <c r="R481" i="5"/>
  <c r="Q481" i="5"/>
  <c r="P481" i="5"/>
  <c r="N481" i="5"/>
  <c r="M481" i="5"/>
  <c r="L481" i="5"/>
  <c r="K481" i="5"/>
  <c r="J481" i="5"/>
  <c r="W481" i="5" s="1"/>
  <c r="I481" i="5"/>
  <c r="H481" i="5"/>
  <c r="T481" i="5" s="1"/>
  <c r="G481" i="5"/>
  <c r="F481" i="5"/>
  <c r="E481" i="5"/>
  <c r="D481" i="5"/>
  <c r="C481" i="5"/>
  <c r="O481" i="5" s="1"/>
  <c r="B481" i="5"/>
  <c r="U481" i="5" s="1"/>
  <c r="A481" i="5"/>
  <c r="T480" i="5"/>
  <c r="S480" i="5"/>
  <c r="R480" i="5"/>
  <c r="P480" i="5"/>
  <c r="N480" i="5"/>
  <c r="M480" i="5"/>
  <c r="L480" i="5"/>
  <c r="K480" i="5"/>
  <c r="J480" i="5"/>
  <c r="W480" i="5" s="1"/>
  <c r="I480" i="5"/>
  <c r="V480" i="5" s="1"/>
  <c r="H480" i="5"/>
  <c r="G480" i="5"/>
  <c r="F480" i="5"/>
  <c r="E480" i="5"/>
  <c r="D480" i="5"/>
  <c r="C480" i="5"/>
  <c r="O480" i="5" s="1"/>
  <c r="B480" i="5"/>
  <c r="U480" i="5" s="1"/>
  <c r="A480" i="5"/>
  <c r="V479" i="5"/>
  <c r="T479" i="5"/>
  <c r="P479" i="5"/>
  <c r="N479" i="5"/>
  <c r="M479" i="5"/>
  <c r="L479" i="5"/>
  <c r="K479" i="5"/>
  <c r="J479" i="5"/>
  <c r="W479" i="5" s="1"/>
  <c r="I479" i="5"/>
  <c r="H479" i="5"/>
  <c r="G479" i="5"/>
  <c r="F479" i="5"/>
  <c r="R479" i="5" s="1"/>
  <c r="S479" i="5" s="1"/>
  <c r="E479" i="5"/>
  <c r="D479" i="5"/>
  <c r="C479" i="5"/>
  <c r="O479" i="5" s="1"/>
  <c r="B479" i="5"/>
  <c r="U479" i="5" s="1"/>
  <c r="A479" i="5"/>
  <c r="V478" i="5"/>
  <c r="T478" i="5"/>
  <c r="R478" i="5"/>
  <c r="S478" i="5" s="1"/>
  <c r="M478" i="5"/>
  <c r="L478" i="5"/>
  <c r="K478" i="5"/>
  <c r="J478" i="5"/>
  <c r="W478" i="5" s="1"/>
  <c r="I478" i="5"/>
  <c r="H478" i="5"/>
  <c r="G478" i="5"/>
  <c r="F478" i="5"/>
  <c r="E478" i="5"/>
  <c r="D478" i="5"/>
  <c r="C478" i="5"/>
  <c r="O478" i="5" s="1"/>
  <c r="B478" i="5"/>
  <c r="U478" i="5" s="1"/>
  <c r="A478" i="5"/>
  <c r="R477" i="5"/>
  <c r="S477" i="5" s="1"/>
  <c r="Q477" i="5"/>
  <c r="N477" i="5"/>
  <c r="M477" i="5"/>
  <c r="L477" i="5"/>
  <c r="K477" i="5"/>
  <c r="J477" i="5"/>
  <c r="W477" i="5" s="1"/>
  <c r="I477" i="5"/>
  <c r="V477" i="5" s="1"/>
  <c r="H477" i="5"/>
  <c r="T477" i="5" s="1"/>
  <c r="G477" i="5"/>
  <c r="F477" i="5"/>
  <c r="E477" i="5"/>
  <c r="D477" i="5"/>
  <c r="C477" i="5"/>
  <c r="O477" i="5" s="1"/>
  <c r="B477" i="5"/>
  <c r="U477" i="5" s="1"/>
  <c r="A477" i="5"/>
  <c r="V476" i="5"/>
  <c r="T476" i="5"/>
  <c r="N476" i="5"/>
  <c r="M476" i="5"/>
  <c r="L476" i="5"/>
  <c r="K476" i="5"/>
  <c r="J476" i="5"/>
  <c r="W476" i="5" s="1"/>
  <c r="I476" i="5"/>
  <c r="H476" i="5"/>
  <c r="G476" i="5"/>
  <c r="F476" i="5"/>
  <c r="R476" i="5" s="1"/>
  <c r="S476" i="5" s="1"/>
  <c r="E476" i="5"/>
  <c r="D476" i="5"/>
  <c r="C476" i="5"/>
  <c r="B476" i="5"/>
  <c r="U476" i="5" s="1"/>
  <c r="A476" i="5"/>
  <c r="V475" i="5"/>
  <c r="T475" i="5"/>
  <c r="S475" i="5"/>
  <c r="R475" i="5"/>
  <c r="M475" i="5"/>
  <c r="L475" i="5"/>
  <c r="K475" i="5"/>
  <c r="J475" i="5"/>
  <c r="W475" i="5" s="1"/>
  <c r="I475" i="5"/>
  <c r="H475" i="5"/>
  <c r="G475" i="5"/>
  <c r="F475" i="5"/>
  <c r="E475" i="5"/>
  <c r="D475" i="5"/>
  <c r="C475" i="5"/>
  <c r="B475" i="5"/>
  <c r="U475" i="5" s="1"/>
  <c r="A475" i="5"/>
  <c r="V474" i="5"/>
  <c r="R474" i="5"/>
  <c r="S474" i="5" s="1"/>
  <c r="Q474" i="5"/>
  <c r="P474" i="5"/>
  <c r="N474" i="5"/>
  <c r="M474" i="5"/>
  <c r="L474" i="5"/>
  <c r="K474" i="5"/>
  <c r="J474" i="5"/>
  <c r="W474" i="5" s="1"/>
  <c r="I474" i="5"/>
  <c r="H474" i="5"/>
  <c r="T474" i="5" s="1"/>
  <c r="G474" i="5"/>
  <c r="F474" i="5"/>
  <c r="E474" i="5"/>
  <c r="D474" i="5"/>
  <c r="C474" i="5"/>
  <c r="O474" i="5" s="1"/>
  <c r="B474" i="5"/>
  <c r="U474" i="5" s="1"/>
  <c r="A474" i="5"/>
  <c r="V473" i="5"/>
  <c r="T473" i="5"/>
  <c r="N473" i="5"/>
  <c r="M473" i="5"/>
  <c r="L473" i="5"/>
  <c r="K473" i="5"/>
  <c r="J473" i="5"/>
  <c r="W473" i="5" s="1"/>
  <c r="I473" i="5"/>
  <c r="H473" i="5"/>
  <c r="G473" i="5"/>
  <c r="F473" i="5"/>
  <c r="R473" i="5" s="1"/>
  <c r="S473" i="5" s="1"/>
  <c r="E473" i="5"/>
  <c r="D473" i="5"/>
  <c r="C473" i="5"/>
  <c r="B473" i="5"/>
  <c r="U473" i="5" s="1"/>
  <c r="A473" i="5"/>
  <c r="U472" i="5"/>
  <c r="T472" i="5"/>
  <c r="R472" i="5"/>
  <c r="S472" i="5" s="1"/>
  <c r="M472" i="5"/>
  <c r="L472" i="5"/>
  <c r="K472" i="5"/>
  <c r="J472" i="5"/>
  <c r="W472" i="5" s="1"/>
  <c r="I472" i="5"/>
  <c r="V472" i="5" s="1"/>
  <c r="H472" i="5"/>
  <c r="G472" i="5"/>
  <c r="F472" i="5"/>
  <c r="E472" i="5"/>
  <c r="D472" i="5"/>
  <c r="C472" i="5"/>
  <c r="B472" i="5"/>
  <c r="A472" i="5"/>
  <c r="T471" i="5"/>
  <c r="R471" i="5"/>
  <c r="S471" i="5" s="1"/>
  <c r="P471" i="5"/>
  <c r="N471" i="5"/>
  <c r="M471" i="5"/>
  <c r="L471" i="5"/>
  <c r="K471" i="5"/>
  <c r="J471" i="5"/>
  <c r="W471" i="5" s="1"/>
  <c r="I471" i="5"/>
  <c r="V471" i="5" s="1"/>
  <c r="H471" i="5"/>
  <c r="G471" i="5"/>
  <c r="F471" i="5"/>
  <c r="E471" i="5"/>
  <c r="D471" i="5"/>
  <c r="C471" i="5"/>
  <c r="O471" i="5" s="1"/>
  <c r="B471" i="5"/>
  <c r="U471" i="5" s="1"/>
  <c r="A471" i="5"/>
  <c r="V470" i="5"/>
  <c r="U470" i="5"/>
  <c r="R470" i="5"/>
  <c r="S470" i="5" s="1"/>
  <c r="Q470" i="5"/>
  <c r="P470" i="5"/>
  <c r="N470" i="5"/>
  <c r="M470" i="5"/>
  <c r="L470" i="5"/>
  <c r="K470" i="5"/>
  <c r="J470" i="5"/>
  <c r="W470" i="5" s="1"/>
  <c r="I470" i="5"/>
  <c r="H470" i="5"/>
  <c r="T470" i="5" s="1"/>
  <c r="G470" i="5"/>
  <c r="F470" i="5"/>
  <c r="E470" i="5"/>
  <c r="D470" i="5"/>
  <c r="C470" i="5"/>
  <c r="O470" i="5" s="1"/>
  <c r="B470" i="5"/>
  <c r="A470" i="5"/>
  <c r="V469" i="5"/>
  <c r="T469" i="5"/>
  <c r="N469" i="5"/>
  <c r="M469" i="5"/>
  <c r="L469" i="5"/>
  <c r="K469" i="5"/>
  <c r="J469" i="5"/>
  <c r="W469" i="5" s="1"/>
  <c r="I469" i="5"/>
  <c r="H469" i="5"/>
  <c r="G469" i="5"/>
  <c r="F469" i="5"/>
  <c r="R469" i="5" s="1"/>
  <c r="S469" i="5" s="1"/>
  <c r="E469" i="5"/>
  <c r="D469" i="5"/>
  <c r="C469" i="5"/>
  <c r="B469" i="5"/>
  <c r="U469" i="5" s="1"/>
  <c r="A469" i="5"/>
  <c r="U468" i="5"/>
  <c r="T468" i="5"/>
  <c r="R468" i="5"/>
  <c r="S468" i="5" s="1"/>
  <c r="M468" i="5"/>
  <c r="L468" i="5"/>
  <c r="K468" i="5"/>
  <c r="J468" i="5"/>
  <c r="W468" i="5" s="1"/>
  <c r="I468" i="5"/>
  <c r="V468" i="5" s="1"/>
  <c r="H468" i="5"/>
  <c r="G468" i="5"/>
  <c r="F468" i="5"/>
  <c r="E468" i="5"/>
  <c r="D468" i="5"/>
  <c r="C468" i="5"/>
  <c r="B468" i="5"/>
  <c r="A468" i="5"/>
  <c r="T467" i="5"/>
  <c r="R467" i="5"/>
  <c r="S467" i="5" s="1"/>
  <c r="P467" i="5"/>
  <c r="M467" i="5"/>
  <c r="L467" i="5"/>
  <c r="K467" i="5"/>
  <c r="J467" i="5"/>
  <c r="W467" i="5" s="1"/>
  <c r="I467" i="5"/>
  <c r="V467" i="5" s="1"/>
  <c r="H467" i="5"/>
  <c r="G467" i="5"/>
  <c r="F467" i="5"/>
  <c r="E467" i="5"/>
  <c r="D467" i="5"/>
  <c r="C467" i="5"/>
  <c r="O467" i="5" s="1"/>
  <c r="B467" i="5"/>
  <c r="U467" i="5" s="1"/>
  <c r="A467" i="5"/>
  <c r="V466" i="5"/>
  <c r="U466" i="5"/>
  <c r="R466" i="5"/>
  <c r="S466" i="5" s="1"/>
  <c r="Q466" i="5"/>
  <c r="P466" i="5"/>
  <c r="N466" i="5"/>
  <c r="M466" i="5"/>
  <c r="L466" i="5"/>
  <c r="K466" i="5"/>
  <c r="J466" i="5"/>
  <c r="W466" i="5" s="1"/>
  <c r="I466" i="5"/>
  <c r="H466" i="5"/>
  <c r="T466" i="5" s="1"/>
  <c r="G466" i="5"/>
  <c r="F466" i="5"/>
  <c r="E466" i="5"/>
  <c r="D466" i="5"/>
  <c r="C466" i="5"/>
  <c r="O466" i="5" s="1"/>
  <c r="B466" i="5"/>
  <c r="A466" i="5"/>
  <c r="V465" i="5"/>
  <c r="T465" i="5"/>
  <c r="M465" i="5"/>
  <c r="L465" i="5"/>
  <c r="K465" i="5"/>
  <c r="J465" i="5"/>
  <c r="W465" i="5" s="1"/>
  <c r="I465" i="5"/>
  <c r="H465" i="5"/>
  <c r="G465" i="5"/>
  <c r="F465" i="5"/>
  <c r="R465" i="5" s="1"/>
  <c r="S465" i="5" s="1"/>
  <c r="E465" i="5"/>
  <c r="D465" i="5"/>
  <c r="C465" i="5"/>
  <c r="B465" i="5"/>
  <c r="U465" i="5" s="1"/>
  <c r="A465" i="5"/>
  <c r="U464" i="5"/>
  <c r="T464" i="5"/>
  <c r="R464" i="5"/>
  <c r="S464" i="5" s="1"/>
  <c r="M464" i="5"/>
  <c r="L464" i="5"/>
  <c r="K464" i="5"/>
  <c r="J464" i="5"/>
  <c r="W464" i="5" s="1"/>
  <c r="I464" i="5"/>
  <c r="V464" i="5" s="1"/>
  <c r="H464" i="5"/>
  <c r="G464" i="5"/>
  <c r="F464" i="5"/>
  <c r="E464" i="5"/>
  <c r="D464" i="5"/>
  <c r="C464" i="5"/>
  <c r="B464" i="5"/>
  <c r="A464" i="5"/>
  <c r="T463" i="5"/>
  <c r="R463" i="5"/>
  <c r="P463" i="5"/>
  <c r="M463" i="5"/>
  <c r="L463" i="5"/>
  <c r="K463" i="5"/>
  <c r="J463" i="5"/>
  <c r="W463" i="5" s="1"/>
  <c r="I463" i="5"/>
  <c r="V463" i="5" s="1"/>
  <c r="H463" i="5"/>
  <c r="G463" i="5"/>
  <c r="S463" i="5" s="1"/>
  <c r="F463" i="5"/>
  <c r="E463" i="5"/>
  <c r="D463" i="5"/>
  <c r="C463" i="5"/>
  <c r="O463" i="5" s="1"/>
  <c r="B463" i="5"/>
  <c r="U463" i="5" s="1"/>
  <c r="A463" i="5"/>
  <c r="T462" i="5"/>
  <c r="R462" i="5"/>
  <c r="Q462" i="5"/>
  <c r="O462" i="5"/>
  <c r="M462" i="5"/>
  <c r="L462" i="5"/>
  <c r="K462" i="5"/>
  <c r="J462" i="5"/>
  <c r="W462" i="5" s="1"/>
  <c r="I462" i="5"/>
  <c r="V462" i="5" s="1"/>
  <c r="H462" i="5"/>
  <c r="G462" i="5"/>
  <c r="F462" i="5"/>
  <c r="E462" i="5"/>
  <c r="D462" i="5"/>
  <c r="C462" i="5"/>
  <c r="P462" i="5" s="1"/>
  <c r="B462" i="5"/>
  <c r="U462" i="5" s="1"/>
  <c r="A462" i="5"/>
  <c r="T461" i="5"/>
  <c r="R461" i="5"/>
  <c r="Q461" i="5"/>
  <c r="O461" i="5"/>
  <c r="M461" i="5"/>
  <c r="L461" i="5"/>
  <c r="K461" i="5"/>
  <c r="J461" i="5"/>
  <c r="W461" i="5" s="1"/>
  <c r="I461" i="5"/>
  <c r="V461" i="5" s="1"/>
  <c r="H461" i="5"/>
  <c r="G461" i="5"/>
  <c r="F461" i="5"/>
  <c r="E461" i="5"/>
  <c r="D461" i="5"/>
  <c r="C461" i="5"/>
  <c r="P461" i="5" s="1"/>
  <c r="B461" i="5"/>
  <c r="U461" i="5" s="1"/>
  <c r="A461" i="5"/>
  <c r="T460" i="5"/>
  <c r="R460" i="5"/>
  <c r="Q460" i="5"/>
  <c r="O460" i="5"/>
  <c r="M460" i="5"/>
  <c r="L460" i="5"/>
  <c r="K460" i="5"/>
  <c r="J460" i="5"/>
  <c r="W460" i="5" s="1"/>
  <c r="I460" i="5"/>
  <c r="V460" i="5" s="1"/>
  <c r="H460" i="5"/>
  <c r="G460" i="5"/>
  <c r="F460" i="5"/>
  <c r="E460" i="5"/>
  <c r="D460" i="5"/>
  <c r="C460" i="5"/>
  <c r="P460" i="5" s="1"/>
  <c r="B460" i="5"/>
  <c r="U460" i="5" s="1"/>
  <c r="A460" i="5"/>
  <c r="T459" i="5"/>
  <c r="R459" i="5"/>
  <c r="Q459" i="5"/>
  <c r="O459" i="5"/>
  <c r="M459" i="5"/>
  <c r="L459" i="5"/>
  <c r="K459" i="5"/>
  <c r="J459" i="5"/>
  <c r="W459" i="5" s="1"/>
  <c r="I459" i="5"/>
  <c r="V459" i="5" s="1"/>
  <c r="H459" i="5"/>
  <c r="G459" i="5"/>
  <c r="S459" i="5" s="1"/>
  <c r="F459" i="5"/>
  <c r="E459" i="5"/>
  <c r="D459" i="5"/>
  <c r="C459" i="5"/>
  <c r="P459" i="5" s="1"/>
  <c r="B459" i="5"/>
  <c r="U459" i="5" s="1"/>
  <c r="A459" i="5"/>
  <c r="T458" i="5"/>
  <c r="R458" i="5"/>
  <c r="Q458" i="5"/>
  <c r="O458" i="5"/>
  <c r="M458" i="5"/>
  <c r="L458" i="5"/>
  <c r="K458" i="5"/>
  <c r="J458" i="5"/>
  <c r="W458" i="5" s="1"/>
  <c r="I458" i="5"/>
  <c r="V458" i="5" s="1"/>
  <c r="H458" i="5"/>
  <c r="G458" i="5"/>
  <c r="F458" i="5"/>
  <c r="E458" i="5"/>
  <c r="D458" i="5"/>
  <c r="C458" i="5"/>
  <c r="P458" i="5" s="1"/>
  <c r="B458" i="5"/>
  <c r="U458" i="5" s="1"/>
  <c r="A458" i="5"/>
  <c r="T457" i="5"/>
  <c r="R457" i="5"/>
  <c r="Q457" i="5"/>
  <c r="O457" i="5"/>
  <c r="M457" i="5"/>
  <c r="L457" i="5"/>
  <c r="K457" i="5"/>
  <c r="J457" i="5"/>
  <c r="W457" i="5" s="1"/>
  <c r="I457" i="5"/>
  <c r="V457" i="5" s="1"/>
  <c r="H457" i="5"/>
  <c r="G457" i="5"/>
  <c r="S457" i="5" s="1"/>
  <c r="F457" i="5"/>
  <c r="E457" i="5"/>
  <c r="D457" i="5"/>
  <c r="C457" i="5"/>
  <c r="P457" i="5" s="1"/>
  <c r="B457" i="5"/>
  <c r="U457" i="5" s="1"/>
  <c r="A457" i="5"/>
  <c r="T456" i="5"/>
  <c r="R456" i="5"/>
  <c r="Q456" i="5"/>
  <c r="O456" i="5"/>
  <c r="M456" i="5"/>
  <c r="L456" i="5"/>
  <c r="K456" i="5"/>
  <c r="J456" i="5"/>
  <c r="W456" i="5" s="1"/>
  <c r="I456" i="5"/>
  <c r="V456" i="5" s="1"/>
  <c r="H456" i="5"/>
  <c r="G456" i="5"/>
  <c r="S456" i="5" s="1"/>
  <c r="F456" i="5"/>
  <c r="E456" i="5"/>
  <c r="D456" i="5"/>
  <c r="C456" i="5"/>
  <c r="P456" i="5" s="1"/>
  <c r="B456" i="5"/>
  <c r="U456" i="5" s="1"/>
  <c r="A456" i="5"/>
  <c r="T455" i="5"/>
  <c r="R455" i="5"/>
  <c r="Q455" i="5"/>
  <c r="O455" i="5"/>
  <c r="M455" i="5"/>
  <c r="L455" i="5"/>
  <c r="K455" i="5"/>
  <c r="J455" i="5"/>
  <c r="W455" i="5" s="1"/>
  <c r="I455" i="5"/>
  <c r="V455" i="5" s="1"/>
  <c r="H455" i="5"/>
  <c r="G455" i="5"/>
  <c r="F455" i="5"/>
  <c r="E455" i="5"/>
  <c r="D455" i="5"/>
  <c r="C455" i="5"/>
  <c r="P455" i="5" s="1"/>
  <c r="B455" i="5"/>
  <c r="U455" i="5" s="1"/>
  <c r="A455" i="5"/>
  <c r="W454" i="5"/>
  <c r="T454" i="5"/>
  <c r="R454" i="5"/>
  <c r="Q454" i="5"/>
  <c r="O454" i="5"/>
  <c r="M454" i="5"/>
  <c r="L454" i="5"/>
  <c r="K454" i="5"/>
  <c r="J454" i="5"/>
  <c r="I454" i="5"/>
  <c r="V454" i="5" s="1"/>
  <c r="H454" i="5"/>
  <c r="G454" i="5"/>
  <c r="F454" i="5"/>
  <c r="E454" i="5"/>
  <c r="D454" i="5"/>
  <c r="C454" i="5"/>
  <c r="P454" i="5" s="1"/>
  <c r="B454" i="5"/>
  <c r="U454" i="5" s="1"/>
  <c r="A454" i="5"/>
  <c r="W453" i="5"/>
  <c r="T453" i="5"/>
  <c r="R453" i="5"/>
  <c r="Q453" i="5"/>
  <c r="O453" i="5"/>
  <c r="M453" i="5"/>
  <c r="L453" i="5"/>
  <c r="K453" i="5"/>
  <c r="J453" i="5"/>
  <c r="I453" i="5"/>
  <c r="V453" i="5" s="1"/>
  <c r="H453" i="5"/>
  <c r="G453" i="5"/>
  <c r="F453" i="5"/>
  <c r="E453" i="5"/>
  <c r="D453" i="5"/>
  <c r="C453" i="5"/>
  <c r="P453" i="5" s="1"/>
  <c r="B453" i="5"/>
  <c r="U453" i="5" s="1"/>
  <c r="A453" i="5"/>
  <c r="W452" i="5"/>
  <c r="T452" i="5"/>
  <c r="R452" i="5"/>
  <c r="Q452" i="5"/>
  <c r="O452" i="5"/>
  <c r="M452" i="5"/>
  <c r="L452" i="5"/>
  <c r="K452" i="5"/>
  <c r="J452" i="5"/>
  <c r="I452" i="5"/>
  <c r="V452" i="5" s="1"/>
  <c r="H452" i="5"/>
  <c r="G452" i="5"/>
  <c r="S452" i="5" s="1"/>
  <c r="F452" i="5"/>
  <c r="E452" i="5"/>
  <c r="D452" i="5"/>
  <c r="C452" i="5"/>
  <c r="P452" i="5" s="1"/>
  <c r="B452" i="5"/>
  <c r="U452" i="5" s="1"/>
  <c r="A452" i="5"/>
  <c r="T451" i="5"/>
  <c r="R451" i="5"/>
  <c r="Q451" i="5"/>
  <c r="O451" i="5"/>
  <c r="M451" i="5"/>
  <c r="L451" i="5"/>
  <c r="K451" i="5"/>
  <c r="J451" i="5"/>
  <c r="W451" i="5" s="1"/>
  <c r="I451" i="5"/>
  <c r="V451" i="5" s="1"/>
  <c r="H451" i="5"/>
  <c r="G451" i="5"/>
  <c r="S451" i="5" s="1"/>
  <c r="F451" i="5"/>
  <c r="E451" i="5"/>
  <c r="D451" i="5"/>
  <c r="C451" i="5"/>
  <c r="P451" i="5" s="1"/>
  <c r="B451" i="5"/>
  <c r="U451" i="5" s="1"/>
  <c r="A451" i="5"/>
  <c r="T450" i="5"/>
  <c r="R450" i="5"/>
  <c r="Q450" i="5"/>
  <c r="O450" i="5"/>
  <c r="M450" i="5"/>
  <c r="L450" i="5"/>
  <c r="K450" i="5"/>
  <c r="J450" i="5"/>
  <c r="W450" i="5" s="1"/>
  <c r="I450" i="5"/>
  <c r="V450" i="5" s="1"/>
  <c r="H450" i="5"/>
  <c r="G450" i="5"/>
  <c r="S450" i="5" s="1"/>
  <c r="F450" i="5"/>
  <c r="E450" i="5"/>
  <c r="D450" i="5"/>
  <c r="C450" i="5"/>
  <c r="P450" i="5" s="1"/>
  <c r="B450" i="5"/>
  <c r="U450" i="5" s="1"/>
  <c r="A450" i="5"/>
  <c r="T449" i="5"/>
  <c r="R449" i="5"/>
  <c r="Q449" i="5"/>
  <c r="O449" i="5"/>
  <c r="M449" i="5"/>
  <c r="L449" i="5"/>
  <c r="K449" i="5"/>
  <c r="J449" i="5"/>
  <c r="W449" i="5" s="1"/>
  <c r="I449" i="5"/>
  <c r="V449" i="5" s="1"/>
  <c r="H449" i="5"/>
  <c r="G449" i="5"/>
  <c r="F449" i="5"/>
  <c r="E449" i="5"/>
  <c r="D449" i="5"/>
  <c r="C449" i="5"/>
  <c r="P449" i="5" s="1"/>
  <c r="B449" i="5"/>
  <c r="U449" i="5" s="1"/>
  <c r="A449" i="5"/>
  <c r="T448" i="5"/>
  <c r="R448" i="5"/>
  <c r="Q448" i="5"/>
  <c r="O448" i="5"/>
  <c r="M448" i="5"/>
  <c r="L448" i="5"/>
  <c r="K448" i="5"/>
  <c r="J448" i="5"/>
  <c r="W448" i="5" s="1"/>
  <c r="I448" i="5"/>
  <c r="V448" i="5" s="1"/>
  <c r="H448" i="5"/>
  <c r="G448" i="5"/>
  <c r="F448" i="5"/>
  <c r="E448" i="5"/>
  <c r="D448" i="5"/>
  <c r="C448" i="5"/>
  <c r="P448" i="5" s="1"/>
  <c r="B448" i="5"/>
  <c r="U448" i="5" s="1"/>
  <c r="A448" i="5"/>
  <c r="T447" i="5"/>
  <c r="R447" i="5"/>
  <c r="Q447" i="5"/>
  <c r="O447" i="5"/>
  <c r="M447" i="5"/>
  <c r="L447" i="5"/>
  <c r="K447" i="5"/>
  <c r="J447" i="5"/>
  <c r="W447" i="5" s="1"/>
  <c r="I447" i="5"/>
  <c r="V447" i="5" s="1"/>
  <c r="H447" i="5"/>
  <c r="G447" i="5"/>
  <c r="F447" i="5"/>
  <c r="E447" i="5"/>
  <c r="D447" i="5"/>
  <c r="C447" i="5"/>
  <c r="P447" i="5" s="1"/>
  <c r="B447" i="5"/>
  <c r="U447" i="5" s="1"/>
  <c r="A447" i="5"/>
  <c r="W446" i="5"/>
  <c r="T446" i="5"/>
  <c r="R446" i="5"/>
  <c r="Q446" i="5"/>
  <c r="O446" i="5"/>
  <c r="M446" i="5"/>
  <c r="L446" i="5"/>
  <c r="K446" i="5"/>
  <c r="J446" i="5"/>
  <c r="I446" i="5"/>
  <c r="V446" i="5" s="1"/>
  <c r="H446" i="5"/>
  <c r="G446" i="5"/>
  <c r="F446" i="5"/>
  <c r="E446" i="5"/>
  <c r="D446" i="5"/>
  <c r="C446" i="5"/>
  <c r="P446" i="5" s="1"/>
  <c r="B446" i="5"/>
  <c r="U446" i="5" s="1"/>
  <c r="A446" i="5"/>
  <c r="W445" i="5"/>
  <c r="T445" i="5"/>
  <c r="R445" i="5"/>
  <c r="Q445" i="5"/>
  <c r="O445" i="5"/>
  <c r="M445" i="5"/>
  <c r="L445" i="5"/>
  <c r="K445" i="5"/>
  <c r="J445" i="5"/>
  <c r="I445" i="5"/>
  <c r="V445" i="5" s="1"/>
  <c r="H445" i="5"/>
  <c r="G445" i="5"/>
  <c r="F445" i="5"/>
  <c r="E445" i="5"/>
  <c r="D445" i="5"/>
  <c r="C445" i="5"/>
  <c r="P445" i="5" s="1"/>
  <c r="B445" i="5"/>
  <c r="U445" i="5" s="1"/>
  <c r="A445" i="5"/>
  <c r="W444" i="5"/>
  <c r="T444" i="5"/>
  <c r="R444" i="5"/>
  <c r="Q444" i="5"/>
  <c r="O444" i="5"/>
  <c r="M444" i="5"/>
  <c r="L444" i="5"/>
  <c r="K444" i="5"/>
  <c r="J444" i="5"/>
  <c r="I444" i="5"/>
  <c r="V444" i="5" s="1"/>
  <c r="H444" i="5"/>
  <c r="G444" i="5"/>
  <c r="F444" i="5"/>
  <c r="E444" i="5"/>
  <c r="D444" i="5"/>
  <c r="C444" i="5"/>
  <c r="P444" i="5" s="1"/>
  <c r="B444" i="5"/>
  <c r="U444" i="5" s="1"/>
  <c r="A444" i="5"/>
  <c r="T443" i="5"/>
  <c r="R443" i="5"/>
  <c r="Q443" i="5"/>
  <c r="O443" i="5"/>
  <c r="M443" i="5"/>
  <c r="L443" i="5"/>
  <c r="K443" i="5"/>
  <c r="J443" i="5"/>
  <c r="W443" i="5" s="1"/>
  <c r="I443" i="5"/>
  <c r="V443" i="5" s="1"/>
  <c r="H443" i="5"/>
  <c r="G443" i="5"/>
  <c r="F443" i="5"/>
  <c r="E443" i="5"/>
  <c r="D443" i="5"/>
  <c r="C443" i="5"/>
  <c r="P443" i="5" s="1"/>
  <c r="B443" i="5"/>
  <c r="U443" i="5" s="1"/>
  <c r="A443" i="5"/>
  <c r="T442" i="5"/>
  <c r="R442" i="5"/>
  <c r="Q442" i="5"/>
  <c r="O442" i="5"/>
  <c r="M442" i="5"/>
  <c r="L442" i="5"/>
  <c r="K442" i="5"/>
  <c r="J442" i="5"/>
  <c r="W442" i="5" s="1"/>
  <c r="I442" i="5"/>
  <c r="V442" i="5" s="1"/>
  <c r="H442" i="5"/>
  <c r="G442" i="5"/>
  <c r="S442" i="5" s="1"/>
  <c r="F442" i="5"/>
  <c r="E442" i="5"/>
  <c r="D442" i="5"/>
  <c r="C442" i="5"/>
  <c r="P442" i="5" s="1"/>
  <c r="B442" i="5"/>
  <c r="U442" i="5" s="1"/>
  <c r="A442" i="5"/>
  <c r="T441" i="5"/>
  <c r="R441" i="5"/>
  <c r="Q441" i="5"/>
  <c r="O441" i="5"/>
  <c r="M441" i="5"/>
  <c r="L441" i="5"/>
  <c r="K441" i="5"/>
  <c r="J441" i="5"/>
  <c r="W441" i="5" s="1"/>
  <c r="I441" i="5"/>
  <c r="V441" i="5" s="1"/>
  <c r="H441" i="5"/>
  <c r="G441" i="5"/>
  <c r="F441" i="5"/>
  <c r="E441" i="5"/>
  <c r="D441" i="5"/>
  <c r="C441" i="5"/>
  <c r="P441" i="5" s="1"/>
  <c r="B441" i="5"/>
  <c r="U441" i="5" s="1"/>
  <c r="A441" i="5"/>
  <c r="W440" i="5"/>
  <c r="T440" i="5"/>
  <c r="R440" i="5"/>
  <c r="Q440" i="5"/>
  <c r="O440" i="5"/>
  <c r="M440" i="5"/>
  <c r="L440" i="5"/>
  <c r="K440" i="5"/>
  <c r="J440" i="5"/>
  <c r="I440" i="5"/>
  <c r="V440" i="5" s="1"/>
  <c r="H440" i="5"/>
  <c r="G440" i="5"/>
  <c r="S440" i="5" s="1"/>
  <c r="F440" i="5"/>
  <c r="E440" i="5"/>
  <c r="D440" i="5"/>
  <c r="C440" i="5"/>
  <c r="P440" i="5" s="1"/>
  <c r="B440" i="5"/>
  <c r="U440" i="5" s="1"/>
  <c r="A440" i="5"/>
  <c r="T439" i="5"/>
  <c r="R439" i="5"/>
  <c r="Q439" i="5"/>
  <c r="O439" i="5"/>
  <c r="M439" i="5"/>
  <c r="L439" i="5"/>
  <c r="K439" i="5"/>
  <c r="J439" i="5"/>
  <c r="W439" i="5" s="1"/>
  <c r="I439" i="5"/>
  <c r="V439" i="5" s="1"/>
  <c r="H439" i="5"/>
  <c r="G439" i="5"/>
  <c r="F439" i="5"/>
  <c r="E439" i="5"/>
  <c r="D439" i="5"/>
  <c r="C439" i="5"/>
  <c r="P439" i="5" s="1"/>
  <c r="B439" i="5"/>
  <c r="U439" i="5" s="1"/>
  <c r="A439" i="5"/>
  <c r="W438" i="5"/>
  <c r="T438" i="5"/>
  <c r="R438" i="5"/>
  <c r="Q438" i="5"/>
  <c r="O438" i="5"/>
  <c r="M438" i="5"/>
  <c r="L438" i="5"/>
  <c r="K438" i="5"/>
  <c r="J438" i="5"/>
  <c r="I438" i="5"/>
  <c r="V438" i="5" s="1"/>
  <c r="H438" i="5"/>
  <c r="G438" i="5"/>
  <c r="F438" i="5"/>
  <c r="E438" i="5"/>
  <c r="D438" i="5"/>
  <c r="C438" i="5"/>
  <c r="P438" i="5" s="1"/>
  <c r="B438" i="5"/>
  <c r="U438" i="5" s="1"/>
  <c r="A438" i="5"/>
  <c r="W437" i="5"/>
  <c r="T437" i="5"/>
  <c r="R437" i="5"/>
  <c r="M437" i="5"/>
  <c r="L437" i="5"/>
  <c r="K437" i="5"/>
  <c r="J437" i="5"/>
  <c r="I437" i="5"/>
  <c r="V437" i="5" s="1"/>
  <c r="H437" i="5"/>
  <c r="G437" i="5"/>
  <c r="F437" i="5"/>
  <c r="E437" i="5"/>
  <c r="D437" i="5"/>
  <c r="C437" i="5"/>
  <c r="B437" i="5"/>
  <c r="U437" i="5" s="1"/>
  <c r="A437" i="5"/>
  <c r="T436" i="5"/>
  <c r="R436" i="5"/>
  <c r="Q436" i="5"/>
  <c r="O436" i="5"/>
  <c r="M436" i="5"/>
  <c r="L436" i="5"/>
  <c r="K436" i="5"/>
  <c r="J436" i="5"/>
  <c r="W436" i="5" s="1"/>
  <c r="I436" i="5"/>
  <c r="V436" i="5" s="1"/>
  <c r="H436" i="5"/>
  <c r="G436" i="5"/>
  <c r="F436" i="5"/>
  <c r="E436" i="5"/>
  <c r="D436" i="5"/>
  <c r="C436" i="5"/>
  <c r="B436" i="5"/>
  <c r="U436" i="5" s="1"/>
  <c r="A436" i="5"/>
  <c r="W435" i="5"/>
  <c r="V435" i="5"/>
  <c r="T435" i="5"/>
  <c r="Q435" i="5"/>
  <c r="N435" i="5"/>
  <c r="M435" i="5"/>
  <c r="L435" i="5"/>
  <c r="K435" i="5"/>
  <c r="J435" i="5"/>
  <c r="I435" i="5"/>
  <c r="H435" i="5"/>
  <c r="G435" i="5"/>
  <c r="F435" i="5"/>
  <c r="R435" i="5" s="1"/>
  <c r="E435" i="5"/>
  <c r="D435" i="5"/>
  <c r="C435" i="5"/>
  <c r="P435" i="5" s="1"/>
  <c r="B435" i="5"/>
  <c r="U435" i="5" s="1"/>
  <c r="A435" i="5"/>
  <c r="W434" i="5"/>
  <c r="U434" i="5"/>
  <c r="T434" i="5"/>
  <c r="M434" i="5"/>
  <c r="L434" i="5"/>
  <c r="K434" i="5"/>
  <c r="J434" i="5"/>
  <c r="I434" i="5"/>
  <c r="V434" i="5" s="1"/>
  <c r="H434" i="5"/>
  <c r="G434" i="5"/>
  <c r="F434" i="5"/>
  <c r="R434" i="5" s="1"/>
  <c r="S434" i="5" s="1"/>
  <c r="E434" i="5"/>
  <c r="D434" i="5"/>
  <c r="C434" i="5"/>
  <c r="B434" i="5"/>
  <c r="A434" i="5"/>
  <c r="T433" i="5"/>
  <c r="S433" i="5"/>
  <c r="R433" i="5"/>
  <c r="O433" i="5"/>
  <c r="M433" i="5"/>
  <c r="L433" i="5"/>
  <c r="K433" i="5"/>
  <c r="J433" i="5"/>
  <c r="W433" i="5" s="1"/>
  <c r="I433" i="5"/>
  <c r="V433" i="5" s="1"/>
  <c r="H433" i="5"/>
  <c r="G433" i="5"/>
  <c r="F433" i="5"/>
  <c r="E433" i="5"/>
  <c r="D433" i="5"/>
  <c r="C433" i="5"/>
  <c r="P433" i="5" s="1"/>
  <c r="B433" i="5"/>
  <c r="U433" i="5" s="1"/>
  <c r="A433" i="5"/>
  <c r="V432" i="5"/>
  <c r="T432" i="5"/>
  <c r="R432" i="5"/>
  <c r="S432" i="5" s="1"/>
  <c r="Q432" i="5"/>
  <c r="O432" i="5"/>
  <c r="N432" i="5"/>
  <c r="M432" i="5"/>
  <c r="L432" i="5"/>
  <c r="K432" i="5"/>
  <c r="J432" i="5"/>
  <c r="W432" i="5" s="1"/>
  <c r="I432" i="5"/>
  <c r="H432" i="5"/>
  <c r="G432" i="5"/>
  <c r="F432" i="5"/>
  <c r="E432" i="5"/>
  <c r="D432" i="5"/>
  <c r="C432" i="5"/>
  <c r="P432" i="5" s="1"/>
  <c r="B432" i="5"/>
  <c r="U432" i="5" s="1"/>
  <c r="A432" i="5"/>
  <c r="W431" i="5"/>
  <c r="V431" i="5"/>
  <c r="U431" i="5"/>
  <c r="T431" i="5"/>
  <c r="Q431" i="5"/>
  <c r="N431" i="5"/>
  <c r="M431" i="5"/>
  <c r="L431" i="5"/>
  <c r="K431" i="5"/>
  <c r="J431" i="5"/>
  <c r="I431" i="5"/>
  <c r="H431" i="5"/>
  <c r="G431" i="5"/>
  <c r="S431" i="5" s="1"/>
  <c r="F431" i="5"/>
  <c r="R431" i="5" s="1"/>
  <c r="E431" i="5"/>
  <c r="D431" i="5"/>
  <c r="C431" i="5"/>
  <c r="P431" i="5" s="1"/>
  <c r="B431" i="5"/>
  <c r="A431" i="5"/>
  <c r="W430" i="5"/>
  <c r="U430" i="5"/>
  <c r="T430" i="5"/>
  <c r="N430" i="5"/>
  <c r="M430" i="5"/>
  <c r="L430" i="5"/>
  <c r="K430" i="5"/>
  <c r="J430" i="5"/>
  <c r="I430" i="5"/>
  <c r="V430" i="5" s="1"/>
  <c r="H430" i="5"/>
  <c r="G430" i="5"/>
  <c r="F430" i="5"/>
  <c r="R430" i="5" s="1"/>
  <c r="S430" i="5" s="1"/>
  <c r="E430" i="5"/>
  <c r="D430" i="5"/>
  <c r="C430" i="5"/>
  <c r="B430" i="5"/>
  <c r="A430" i="5"/>
  <c r="T429" i="5"/>
  <c r="R429" i="5"/>
  <c r="S429" i="5" s="1"/>
  <c r="O429" i="5"/>
  <c r="M429" i="5"/>
  <c r="L429" i="5"/>
  <c r="K429" i="5"/>
  <c r="J429" i="5"/>
  <c r="W429" i="5" s="1"/>
  <c r="I429" i="5"/>
  <c r="V429" i="5" s="1"/>
  <c r="H429" i="5"/>
  <c r="G429" i="5"/>
  <c r="F429" i="5"/>
  <c r="E429" i="5"/>
  <c r="D429" i="5"/>
  <c r="C429" i="5"/>
  <c r="P429" i="5" s="1"/>
  <c r="B429" i="5"/>
  <c r="U429" i="5" s="1"/>
  <c r="A429" i="5"/>
  <c r="V428" i="5"/>
  <c r="T428" i="5"/>
  <c r="R428" i="5"/>
  <c r="Q428" i="5"/>
  <c r="O428" i="5"/>
  <c r="N428" i="5"/>
  <c r="M428" i="5"/>
  <c r="L428" i="5"/>
  <c r="K428" i="5"/>
  <c r="J428" i="5"/>
  <c r="W428" i="5" s="1"/>
  <c r="I428" i="5"/>
  <c r="H428" i="5"/>
  <c r="G428" i="5"/>
  <c r="F428" i="5"/>
  <c r="E428" i="5"/>
  <c r="D428" i="5"/>
  <c r="C428" i="5"/>
  <c r="P428" i="5" s="1"/>
  <c r="B428" i="5"/>
  <c r="U428" i="5" s="1"/>
  <c r="A428" i="5"/>
  <c r="W427" i="5"/>
  <c r="V427" i="5"/>
  <c r="U427" i="5"/>
  <c r="T427" i="5"/>
  <c r="Q427" i="5"/>
  <c r="N427" i="5"/>
  <c r="M427" i="5"/>
  <c r="L427" i="5"/>
  <c r="K427" i="5"/>
  <c r="J427" i="5"/>
  <c r="I427" i="5"/>
  <c r="H427" i="5"/>
  <c r="G427" i="5"/>
  <c r="F427" i="5"/>
  <c r="R427" i="5" s="1"/>
  <c r="E427" i="5"/>
  <c r="D427" i="5"/>
  <c r="C427" i="5"/>
  <c r="P427" i="5" s="1"/>
  <c r="B427" i="5"/>
  <c r="A427" i="5"/>
  <c r="W426" i="5"/>
  <c r="U426" i="5"/>
  <c r="T426" i="5"/>
  <c r="M426" i="5"/>
  <c r="L426" i="5"/>
  <c r="K426" i="5"/>
  <c r="J426" i="5"/>
  <c r="I426" i="5"/>
  <c r="V426" i="5" s="1"/>
  <c r="H426" i="5"/>
  <c r="G426" i="5"/>
  <c r="F426" i="5"/>
  <c r="R426" i="5" s="1"/>
  <c r="S426" i="5" s="1"/>
  <c r="E426" i="5"/>
  <c r="D426" i="5"/>
  <c r="C426" i="5"/>
  <c r="B426" i="5"/>
  <c r="A426" i="5"/>
  <c r="T425" i="5"/>
  <c r="S425" i="5"/>
  <c r="R425" i="5"/>
  <c r="O425" i="5"/>
  <c r="M425" i="5"/>
  <c r="L425" i="5"/>
  <c r="K425" i="5"/>
  <c r="J425" i="5"/>
  <c r="W425" i="5" s="1"/>
  <c r="I425" i="5"/>
  <c r="V425" i="5" s="1"/>
  <c r="H425" i="5"/>
  <c r="G425" i="5"/>
  <c r="F425" i="5"/>
  <c r="E425" i="5"/>
  <c r="D425" i="5"/>
  <c r="C425" i="5"/>
  <c r="P425" i="5" s="1"/>
  <c r="B425" i="5"/>
  <c r="U425" i="5" s="1"/>
  <c r="A425" i="5"/>
  <c r="V424" i="5"/>
  <c r="T424" i="5"/>
  <c r="R424" i="5"/>
  <c r="Q424" i="5"/>
  <c r="O424" i="5"/>
  <c r="N424" i="5"/>
  <c r="M424" i="5"/>
  <c r="L424" i="5"/>
  <c r="K424" i="5"/>
  <c r="J424" i="5"/>
  <c r="W424" i="5" s="1"/>
  <c r="I424" i="5"/>
  <c r="H424" i="5"/>
  <c r="G424" i="5"/>
  <c r="S424" i="5" s="1"/>
  <c r="F424" i="5"/>
  <c r="E424" i="5"/>
  <c r="D424" i="5"/>
  <c r="C424" i="5"/>
  <c r="P424" i="5" s="1"/>
  <c r="B424" i="5"/>
  <c r="U424" i="5" s="1"/>
  <c r="A424" i="5"/>
  <c r="W423" i="5"/>
  <c r="V423" i="5"/>
  <c r="U423" i="5"/>
  <c r="T423" i="5"/>
  <c r="Q423" i="5"/>
  <c r="N423" i="5"/>
  <c r="M423" i="5"/>
  <c r="L423" i="5"/>
  <c r="K423" i="5"/>
  <c r="J423" i="5"/>
  <c r="I423" i="5"/>
  <c r="H423" i="5"/>
  <c r="G423" i="5"/>
  <c r="F423" i="5"/>
  <c r="R423" i="5" s="1"/>
  <c r="E423" i="5"/>
  <c r="D423" i="5"/>
  <c r="C423" i="5"/>
  <c r="P423" i="5" s="1"/>
  <c r="B423" i="5"/>
  <c r="A423" i="5"/>
  <c r="W422" i="5"/>
  <c r="U422" i="5"/>
  <c r="T422" i="5"/>
  <c r="N422" i="5"/>
  <c r="M422" i="5"/>
  <c r="L422" i="5"/>
  <c r="K422" i="5"/>
  <c r="J422" i="5"/>
  <c r="I422" i="5"/>
  <c r="V422" i="5" s="1"/>
  <c r="H422" i="5"/>
  <c r="G422" i="5"/>
  <c r="F422" i="5"/>
  <c r="R422" i="5" s="1"/>
  <c r="S422" i="5" s="1"/>
  <c r="E422" i="5"/>
  <c r="D422" i="5"/>
  <c r="C422" i="5"/>
  <c r="B422" i="5"/>
  <c r="A422" i="5"/>
  <c r="T421" i="5"/>
  <c r="S421" i="5"/>
  <c r="R421" i="5"/>
  <c r="O421" i="5"/>
  <c r="M421" i="5"/>
  <c r="L421" i="5"/>
  <c r="K421" i="5"/>
  <c r="J421" i="5"/>
  <c r="W421" i="5" s="1"/>
  <c r="I421" i="5"/>
  <c r="V421" i="5" s="1"/>
  <c r="H421" i="5"/>
  <c r="G421" i="5"/>
  <c r="F421" i="5"/>
  <c r="E421" i="5"/>
  <c r="D421" i="5"/>
  <c r="C421" i="5"/>
  <c r="P421" i="5" s="1"/>
  <c r="B421" i="5"/>
  <c r="U421" i="5" s="1"/>
  <c r="A421" i="5"/>
  <c r="V420" i="5"/>
  <c r="T420" i="5"/>
  <c r="R420" i="5"/>
  <c r="Q420" i="5"/>
  <c r="O420" i="5"/>
  <c r="N420" i="5"/>
  <c r="M420" i="5"/>
  <c r="L420" i="5"/>
  <c r="K420" i="5"/>
  <c r="J420" i="5"/>
  <c r="W420" i="5" s="1"/>
  <c r="I420" i="5"/>
  <c r="H420" i="5"/>
  <c r="G420" i="5"/>
  <c r="S420" i="5" s="1"/>
  <c r="F420" i="5"/>
  <c r="E420" i="5"/>
  <c r="D420" i="5"/>
  <c r="C420" i="5"/>
  <c r="P420" i="5" s="1"/>
  <c r="B420" i="5"/>
  <c r="U420" i="5" s="1"/>
  <c r="A420" i="5"/>
  <c r="W419" i="5"/>
  <c r="V419" i="5"/>
  <c r="U419" i="5"/>
  <c r="T419" i="5"/>
  <c r="Q419" i="5"/>
  <c r="N419" i="5"/>
  <c r="M419" i="5"/>
  <c r="L419" i="5"/>
  <c r="K419" i="5"/>
  <c r="J419" i="5"/>
  <c r="I419" i="5"/>
  <c r="H419" i="5"/>
  <c r="G419" i="5"/>
  <c r="F419" i="5"/>
  <c r="R419" i="5" s="1"/>
  <c r="E419" i="5"/>
  <c r="D419" i="5"/>
  <c r="C419" i="5"/>
  <c r="P419" i="5" s="1"/>
  <c r="B419" i="5"/>
  <c r="A419" i="5"/>
  <c r="W418" i="5"/>
  <c r="U418" i="5"/>
  <c r="T418" i="5"/>
  <c r="M418" i="5"/>
  <c r="L418" i="5"/>
  <c r="K418" i="5"/>
  <c r="J418" i="5"/>
  <c r="I418" i="5"/>
  <c r="V418" i="5" s="1"/>
  <c r="H418" i="5"/>
  <c r="G418" i="5"/>
  <c r="F418" i="5"/>
  <c r="R418" i="5" s="1"/>
  <c r="S418" i="5" s="1"/>
  <c r="E418" i="5"/>
  <c r="D418" i="5"/>
  <c r="C418" i="5"/>
  <c r="B418" i="5"/>
  <c r="A418" i="5"/>
  <c r="T417" i="5"/>
  <c r="R417" i="5"/>
  <c r="S417" i="5" s="1"/>
  <c r="O417" i="5"/>
  <c r="M417" i="5"/>
  <c r="L417" i="5"/>
  <c r="K417" i="5"/>
  <c r="J417" i="5"/>
  <c r="W417" i="5" s="1"/>
  <c r="I417" i="5"/>
  <c r="V417" i="5" s="1"/>
  <c r="H417" i="5"/>
  <c r="G417" i="5"/>
  <c r="F417" i="5"/>
  <c r="E417" i="5"/>
  <c r="D417" i="5"/>
  <c r="C417" i="5"/>
  <c r="P417" i="5" s="1"/>
  <c r="B417" i="5"/>
  <c r="U417" i="5" s="1"/>
  <c r="A417" i="5"/>
  <c r="V416" i="5"/>
  <c r="T416" i="5"/>
  <c r="R416" i="5"/>
  <c r="S416" i="5" s="1"/>
  <c r="Q416" i="5"/>
  <c r="O416" i="5"/>
  <c r="N416" i="5"/>
  <c r="M416" i="5"/>
  <c r="L416" i="5"/>
  <c r="K416" i="5"/>
  <c r="J416" i="5"/>
  <c r="W416" i="5" s="1"/>
  <c r="I416" i="5"/>
  <c r="H416" i="5"/>
  <c r="G416" i="5"/>
  <c r="F416" i="5"/>
  <c r="E416" i="5"/>
  <c r="D416" i="5"/>
  <c r="C416" i="5"/>
  <c r="P416" i="5" s="1"/>
  <c r="B416" i="5"/>
  <c r="U416" i="5" s="1"/>
  <c r="A416" i="5"/>
  <c r="W415" i="5"/>
  <c r="V415" i="5"/>
  <c r="U415" i="5"/>
  <c r="T415" i="5"/>
  <c r="Q415" i="5"/>
  <c r="M415" i="5"/>
  <c r="L415" i="5"/>
  <c r="K415" i="5"/>
  <c r="J415" i="5"/>
  <c r="I415" i="5"/>
  <c r="H415" i="5"/>
  <c r="G415" i="5"/>
  <c r="F415" i="5"/>
  <c r="R415" i="5" s="1"/>
  <c r="E415" i="5"/>
  <c r="D415" i="5"/>
  <c r="C415" i="5"/>
  <c r="N415" i="5" s="1"/>
  <c r="B415" i="5"/>
  <c r="A415" i="5"/>
  <c r="W414" i="5"/>
  <c r="U414" i="5"/>
  <c r="T414" i="5"/>
  <c r="N414" i="5"/>
  <c r="M414" i="5"/>
  <c r="L414" i="5"/>
  <c r="K414" i="5"/>
  <c r="J414" i="5"/>
  <c r="I414" i="5"/>
  <c r="V414" i="5" s="1"/>
  <c r="H414" i="5"/>
  <c r="G414" i="5"/>
  <c r="F414" i="5"/>
  <c r="R414" i="5" s="1"/>
  <c r="S414" i="5" s="1"/>
  <c r="E414" i="5"/>
  <c r="D414" i="5"/>
  <c r="C414" i="5"/>
  <c r="B414" i="5"/>
  <c r="A414" i="5"/>
  <c r="T413" i="5"/>
  <c r="R413" i="5"/>
  <c r="S413" i="5" s="1"/>
  <c r="O413" i="5"/>
  <c r="M413" i="5"/>
  <c r="L413" i="5"/>
  <c r="K413" i="5"/>
  <c r="J413" i="5"/>
  <c r="W413" i="5" s="1"/>
  <c r="I413" i="5"/>
  <c r="V413" i="5" s="1"/>
  <c r="H413" i="5"/>
  <c r="G413" i="5"/>
  <c r="F413" i="5"/>
  <c r="E413" i="5"/>
  <c r="D413" i="5"/>
  <c r="C413" i="5"/>
  <c r="P413" i="5" s="1"/>
  <c r="B413" i="5"/>
  <c r="U413" i="5" s="1"/>
  <c r="A413" i="5"/>
  <c r="V412" i="5"/>
  <c r="T412" i="5"/>
  <c r="R412" i="5"/>
  <c r="Q412" i="5"/>
  <c r="O412" i="5"/>
  <c r="N412" i="5"/>
  <c r="M412" i="5"/>
  <c r="L412" i="5"/>
  <c r="K412" i="5"/>
  <c r="J412" i="5"/>
  <c r="W412" i="5" s="1"/>
  <c r="I412" i="5"/>
  <c r="H412" i="5"/>
  <c r="G412" i="5"/>
  <c r="S412" i="5" s="1"/>
  <c r="F412" i="5"/>
  <c r="E412" i="5"/>
  <c r="D412" i="5"/>
  <c r="C412" i="5"/>
  <c r="P412" i="5" s="1"/>
  <c r="B412" i="5"/>
  <c r="U412" i="5" s="1"/>
  <c r="A412" i="5"/>
  <c r="W411" i="5"/>
  <c r="V411" i="5"/>
  <c r="U411" i="5"/>
  <c r="T411" i="5"/>
  <c r="M411" i="5"/>
  <c r="L411" i="5"/>
  <c r="K411" i="5"/>
  <c r="J411" i="5"/>
  <c r="I411" i="5"/>
  <c r="H411" i="5"/>
  <c r="G411" i="5"/>
  <c r="F411" i="5"/>
  <c r="R411" i="5" s="1"/>
  <c r="E411" i="5"/>
  <c r="D411" i="5"/>
  <c r="C411" i="5"/>
  <c r="B411" i="5"/>
  <c r="A411" i="5"/>
  <c r="W410" i="5"/>
  <c r="U410" i="5"/>
  <c r="T410" i="5"/>
  <c r="M410" i="5"/>
  <c r="L410" i="5"/>
  <c r="K410" i="5"/>
  <c r="J410" i="5"/>
  <c r="I410" i="5"/>
  <c r="V410" i="5" s="1"/>
  <c r="H410" i="5"/>
  <c r="G410" i="5"/>
  <c r="F410" i="5"/>
  <c r="R410" i="5" s="1"/>
  <c r="S410" i="5" s="1"/>
  <c r="E410" i="5"/>
  <c r="D410" i="5"/>
  <c r="C410" i="5"/>
  <c r="B410" i="5"/>
  <c r="A410" i="5"/>
  <c r="T409" i="5"/>
  <c r="S409" i="5"/>
  <c r="R409" i="5"/>
  <c r="O409" i="5"/>
  <c r="M409" i="5"/>
  <c r="L409" i="5"/>
  <c r="K409" i="5"/>
  <c r="J409" i="5"/>
  <c r="W409" i="5" s="1"/>
  <c r="I409" i="5"/>
  <c r="V409" i="5" s="1"/>
  <c r="H409" i="5"/>
  <c r="G409" i="5"/>
  <c r="F409" i="5"/>
  <c r="E409" i="5"/>
  <c r="D409" i="5"/>
  <c r="C409" i="5"/>
  <c r="B409" i="5"/>
  <c r="U409" i="5" s="1"/>
  <c r="A409" i="5"/>
  <c r="T408" i="5"/>
  <c r="R408" i="5"/>
  <c r="S408" i="5" s="1"/>
  <c r="Q408" i="5"/>
  <c r="O408" i="5"/>
  <c r="N408" i="5"/>
  <c r="M408" i="5"/>
  <c r="L408" i="5"/>
  <c r="K408" i="5"/>
  <c r="J408" i="5"/>
  <c r="W408" i="5" s="1"/>
  <c r="I408" i="5"/>
  <c r="V408" i="5" s="1"/>
  <c r="H408" i="5"/>
  <c r="G408" i="5"/>
  <c r="F408" i="5"/>
  <c r="E408" i="5"/>
  <c r="D408" i="5"/>
  <c r="C408" i="5"/>
  <c r="P408" i="5" s="1"/>
  <c r="B408" i="5"/>
  <c r="U408" i="5" s="1"/>
  <c r="A408" i="5"/>
  <c r="W407" i="5"/>
  <c r="V407" i="5"/>
  <c r="U407" i="5"/>
  <c r="T407" i="5"/>
  <c r="Q407" i="5"/>
  <c r="N407" i="5"/>
  <c r="M407" i="5"/>
  <c r="L407" i="5"/>
  <c r="K407" i="5"/>
  <c r="J407" i="5"/>
  <c r="I407" i="5"/>
  <c r="H407" i="5"/>
  <c r="G407" i="5"/>
  <c r="F407" i="5"/>
  <c r="R407" i="5" s="1"/>
  <c r="E407" i="5"/>
  <c r="D407" i="5"/>
  <c r="C407" i="5"/>
  <c r="P407" i="5" s="1"/>
  <c r="B407" i="5"/>
  <c r="A407" i="5"/>
  <c r="W406" i="5"/>
  <c r="U406" i="5"/>
  <c r="T406" i="5"/>
  <c r="N406" i="5"/>
  <c r="M406" i="5"/>
  <c r="L406" i="5"/>
  <c r="K406" i="5"/>
  <c r="J406" i="5"/>
  <c r="I406" i="5"/>
  <c r="V406" i="5" s="1"/>
  <c r="H406" i="5"/>
  <c r="G406" i="5"/>
  <c r="F406" i="5"/>
  <c r="R406" i="5" s="1"/>
  <c r="S406" i="5" s="1"/>
  <c r="E406" i="5"/>
  <c r="D406" i="5"/>
  <c r="C406" i="5"/>
  <c r="B406" i="5"/>
  <c r="A406" i="5"/>
  <c r="T405" i="5"/>
  <c r="R405" i="5"/>
  <c r="Q405" i="5"/>
  <c r="M405" i="5"/>
  <c r="L405" i="5"/>
  <c r="K405" i="5"/>
  <c r="J405" i="5"/>
  <c r="W405" i="5" s="1"/>
  <c r="I405" i="5"/>
  <c r="V405" i="5" s="1"/>
  <c r="H405" i="5"/>
  <c r="G405" i="5"/>
  <c r="S405" i="5" s="1"/>
  <c r="F405" i="5"/>
  <c r="E405" i="5"/>
  <c r="D405" i="5"/>
  <c r="C405" i="5"/>
  <c r="O405" i="5" s="1"/>
  <c r="B405" i="5"/>
  <c r="U405" i="5" s="1"/>
  <c r="A405" i="5"/>
  <c r="T404" i="5"/>
  <c r="R404" i="5"/>
  <c r="S404" i="5" s="1"/>
  <c r="Q404" i="5"/>
  <c r="O404" i="5"/>
  <c r="N404" i="5"/>
  <c r="M404" i="5"/>
  <c r="L404" i="5"/>
  <c r="K404" i="5"/>
  <c r="J404" i="5"/>
  <c r="W404" i="5" s="1"/>
  <c r="I404" i="5"/>
  <c r="V404" i="5" s="1"/>
  <c r="H404" i="5"/>
  <c r="G404" i="5"/>
  <c r="F404" i="5"/>
  <c r="E404" i="5"/>
  <c r="D404" i="5"/>
  <c r="C404" i="5"/>
  <c r="P404" i="5" s="1"/>
  <c r="B404" i="5"/>
  <c r="U404" i="5" s="1"/>
  <c r="A404" i="5"/>
  <c r="W403" i="5"/>
  <c r="V403" i="5"/>
  <c r="U403" i="5"/>
  <c r="T403" i="5"/>
  <c r="Q403" i="5"/>
  <c r="N403" i="5"/>
  <c r="M403" i="5"/>
  <c r="L403" i="5"/>
  <c r="K403" i="5"/>
  <c r="J403" i="5"/>
  <c r="I403" i="5"/>
  <c r="H403" i="5"/>
  <c r="G403" i="5"/>
  <c r="F403" i="5"/>
  <c r="R403" i="5" s="1"/>
  <c r="E403" i="5"/>
  <c r="D403" i="5"/>
  <c r="C403" i="5"/>
  <c r="P403" i="5" s="1"/>
  <c r="B403" i="5"/>
  <c r="A403" i="5"/>
  <c r="W402" i="5"/>
  <c r="U402" i="5"/>
  <c r="T402" i="5"/>
  <c r="N402" i="5"/>
  <c r="M402" i="5"/>
  <c r="L402" i="5"/>
  <c r="K402" i="5"/>
  <c r="J402" i="5"/>
  <c r="I402" i="5"/>
  <c r="V402" i="5" s="1"/>
  <c r="H402" i="5"/>
  <c r="G402" i="5"/>
  <c r="F402" i="5"/>
  <c r="R402" i="5" s="1"/>
  <c r="S402" i="5" s="1"/>
  <c r="E402" i="5"/>
  <c r="D402" i="5"/>
  <c r="C402" i="5"/>
  <c r="B402" i="5"/>
  <c r="A402" i="5"/>
  <c r="T401" i="5"/>
  <c r="R401" i="5"/>
  <c r="Q401" i="5"/>
  <c r="M401" i="5"/>
  <c r="L401" i="5"/>
  <c r="K401" i="5"/>
  <c r="J401" i="5"/>
  <c r="W401" i="5" s="1"/>
  <c r="I401" i="5"/>
  <c r="V401" i="5" s="1"/>
  <c r="H401" i="5"/>
  <c r="G401" i="5"/>
  <c r="S401" i="5" s="1"/>
  <c r="F401" i="5"/>
  <c r="E401" i="5"/>
  <c r="D401" i="5"/>
  <c r="C401" i="5"/>
  <c r="O401" i="5" s="1"/>
  <c r="B401" i="5"/>
  <c r="U401" i="5" s="1"/>
  <c r="A401" i="5"/>
  <c r="T400" i="5"/>
  <c r="R400" i="5"/>
  <c r="S400" i="5" s="1"/>
  <c r="Q400" i="5"/>
  <c r="O400" i="5"/>
  <c r="N400" i="5"/>
  <c r="M400" i="5"/>
  <c r="L400" i="5"/>
  <c r="K400" i="5"/>
  <c r="J400" i="5"/>
  <c r="W400" i="5" s="1"/>
  <c r="I400" i="5"/>
  <c r="V400" i="5" s="1"/>
  <c r="H400" i="5"/>
  <c r="G400" i="5"/>
  <c r="F400" i="5"/>
  <c r="E400" i="5"/>
  <c r="D400" i="5"/>
  <c r="C400" i="5"/>
  <c r="P400" i="5" s="1"/>
  <c r="B400" i="5"/>
  <c r="U400" i="5" s="1"/>
  <c r="A400" i="5"/>
  <c r="W399" i="5"/>
  <c r="V399" i="5"/>
  <c r="U399" i="5"/>
  <c r="T399" i="5"/>
  <c r="Q399" i="5"/>
  <c r="N399" i="5"/>
  <c r="M399" i="5"/>
  <c r="L399" i="5"/>
  <c r="K399" i="5"/>
  <c r="J399" i="5"/>
  <c r="I399" i="5"/>
  <c r="H399" i="5"/>
  <c r="G399" i="5"/>
  <c r="F399" i="5"/>
  <c r="R399" i="5" s="1"/>
  <c r="E399" i="5"/>
  <c r="D399" i="5"/>
  <c r="C399" i="5"/>
  <c r="P399" i="5" s="1"/>
  <c r="B399" i="5"/>
  <c r="A399" i="5"/>
  <c r="W398" i="5"/>
  <c r="U398" i="5"/>
  <c r="T398" i="5"/>
  <c r="N398" i="5"/>
  <c r="M398" i="5"/>
  <c r="L398" i="5"/>
  <c r="K398" i="5"/>
  <c r="J398" i="5"/>
  <c r="I398" i="5"/>
  <c r="V398" i="5" s="1"/>
  <c r="H398" i="5"/>
  <c r="G398" i="5"/>
  <c r="F398" i="5"/>
  <c r="R398" i="5" s="1"/>
  <c r="S398" i="5" s="1"/>
  <c r="E398" i="5"/>
  <c r="D398" i="5"/>
  <c r="C398" i="5"/>
  <c r="B398" i="5"/>
  <c r="A398" i="5"/>
  <c r="T397" i="5"/>
  <c r="R397" i="5"/>
  <c r="Q397" i="5"/>
  <c r="M397" i="5"/>
  <c r="L397" i="5"/>
  <c r="K397" i="5"/>
  <c r="J397" i="5"/>
  <c r="W397" i="5" s="1"/>
  <c r="I397" i="5"/>
  <c r="V397" i="5" s="1"/>
  <c r="H397" i="5"/>
  <c r="G397" i="5"/>
  <c r="F397" i="5"/>
  <c r="E397" i="5"/>
  <c r="D397" i="5"/>
  <c r="C397" i="5"/>
  <c r="O397" i="5" s="1"/>
  <c r="B397" i="5"/>
  <c r="U397" i="5" s="1"/>
  <c r="A397" i="5"/>
  <c r="T396" i="5"/>
  <c r="R396" i="5"/>
  <c r="S396" i="5" s="1"/>
  <c r="Q396" i="5"/>
  <c r="O396" i="5"/>
  <c r="N396" i="5"/>
  <c r="M396" i="5"/>
  <c r="L396" i="5"/>
  <c r="K396" i="5"/>
  <c r="J396" i="5"/>
  <c r="W396" i="5" s="1"/>
  <c r="I396" i="5"/>
  <c r="V396" i="5" s="1"/>
  <c r="H396" i="5"/>
  <c r="G396" i="5"/>
  <c r="F396" i="5"/>
  <c r="E396" i="5"/>
  <c r="D396" i="5"/>
  <c r="C396" i="5"/>
  <c r="P396" i="5" s="1"/>
  <c r="B396" i="5"/>
  <c r="U396" i="5" s="1"/>
  <c r="A396" i="5"/>
  <c r="W395" i="5"/>
  <c r="V395" i="5"/>
  <c r="U395" i="5"/>
  <c r="T395" i="5"/>
  <c r="Q395" i="5"/>
  <c r="N395" i="5"/>
  <c r="M395" i="5"/>
  <c r="L395" i="5"/>
  <c r="K395" i="5"/>
  <c r="J395" i="5"/>
  <c r="I395" i="5"/>
  <c r="H395" i="5"/>
  <c r="G395" i="5"/>
  <c r="F395" i="5"/>
  <c r="R395" i="5" s="1"/>
  <c r="E395" i="5"/>
  <c r="D395" i="5"/>
  <c r="C395" i="5"/>
  <c r="P395" i="5" s="1"/>
  <c r="B395" i="5"/>
  <c r="A395" i="5"/>
  <c r="W394" i="5"/>
  <c r="U394" i="5"/>
  <c r="T394" i="5"/>
  <c r="N394" i="5"/>
  <c r="M394" i="5"/>
  <c r="L394" i="5"/>
  <c r="K394" i="5"/>
  <c r="J394" i="5"/>
  <c r="I394" i="5"/>
  <c r="V394" i="5" s="1"/>
  <c r="H394" i="5"/>
  <c r="G394" i="5"/>
  <c r="F394" i="5"/>
  <c r="R394" i="5" s="1"/>
  <c r="S394" i="5" s="1"/>
  <c r="E394" i="5"/>
  <c r="D394" i="5"/>
  <c r="C394" i="5"/>
  <c r="B394" i="5"/>
  <c r="A394" i="5"/>
  <c r="U393" i="5"/>
  <c r="T393" i="5"/>
  <c r="R393" i="5"/>
  <c r="O393" i="5"/>
  <c r="N393" i="5"/>
  <c r="M393" i="5"/>
  <c r="L393" i="5"/>
  <c r="K393" i="5"/>
  <c r="J393" i="5"/>
  <c r="W393" i="5" s="1"/>
  <c r="I393" i="5"/>
  <c r="V393" i="5" s="1"/>
  <c r="H393" i="5"/>
  <c r="G393" i="5"/>
  <c r="S393" i="5" s="1"/>
  <c r="F393" i="5"/>
  <c r="E393" i="5"/>
  <c r="D393" i="5"/>
  <c r="C393" i="5"/>
  <c r="P393" i="5" s="1"/>
  <c r="B393" i="5"/>
  <c r="A393" i="5"/>
  <c r="V392" i="5"/>
  <c r="U392" i="5"/>
  <c r="T392" i="5"/>
  <c r="R392" i="5"/>
  <c r="Q392" i="5"/>
  <c r="O392" i="5"/>
  <c r="M392" i="5"/>
  <c r="L392" i="5"/>
  <c r="K392" i="5"/>
  <c r="J392" i="5"/>
  <c r="W392" i="5" s="1"/>
  <c r="I392" i="5"/>
  <c r="H392" i="5"/>
  <c r="G392" i="5"/>
  <c r="S392" i="5" s="1"/>
  <c r="F392" i="5"/>
  <c r="E392" i="5"/>
  <c r="D392" i="5"/>
  <c r="C392" i="5"/>
  <c r="P392" i="5" s="1"/>
  <c r="B392" i="5"/>
  <c r="A392" i="5"/>
  <c r="V391" i="5"/>
  <c r="T391" i="5"/>
  <c r="M391" i="5"/>
  <c r="L391" i="5"/>
  <c r="K391" i="5"/>
  <c r="J391" i="5"/>
  <c r="W391" i="5" s="1"/>
  <c r="I391" i="5"/>
  <c r="H391" i="5"/>
  <c r="G391" i="5"/>
  <c r="F391" i="5"/>
  <c r="R391" i="5" s="1"/>
  <c r="S391" i="5" s="1"/>
  <c r="E391" i="5"/>
  <c r="D391" i="5"/>
  <c r="C391" i="5"/>
  <c r="B391" i="5"/>
  <c r="U391" i="5" s="1"/>
  <c r="A391" i="5"/>
  <c r="W390" i="5"/>
  <c r="U390" i="5"/>
  <c r="T390" i="5"/>
  <c r="R390" i="5"/>
  <c r="Q390" i="5"/>
  <c r="M390" i="5"/>
  <c r="L390" i="5"/>
  <c r="K390" i="5"/>
  <c r="J390" i="5"/>
  <c r="I390" i="5"/>
  <c r="V390" i="5" s="1"/>
  <c r="H390" i="5"/>
  <c r="G390" i="5"/>
  <c r="F390" i="5"/>
  <c r="E390" i="5"/>
  <c r="D390" i="5"/>
  <c r="C390" i="5"/>
  <c r="B390" i="5"/>
  <c r="A390" i="5"/>
  <c r="W389" i="5"/>
  <c r="U389" i="5"/>
  <c r="T389" i="5"/>
  <c r="R389" i="5"/>
  <c r="O389" i="5"/>
  <c r="N389" i="5"/>
  <c r="M389" i="5"/>
  <c r="L389" i="5"/>
  <c r="K389" i="5"/>
  <c r="J389" i="5"/>
  <c r="I389" i="5"/>
  <c r="V389" i="5" s="1"/>
  <c r="H389" i="5"/>
  <c r="G389" i="5"/>
  <c r="F389" i="5"/>
  <c r="E389" i="5"/>
  <c r="D389" i="5"/>
  <c r="C389" i="5"/>
  <c r="P389" i="5" s="1"/>
  <c r="B389" i="5"/>
  <c r="A389" i="5"/>
  <c r="V388" i="5"/>
  <c r="U388" i="5"/>
  <c r="T388" i="5"/>
  <c r="R388" i="5"/>
  <c r="O388" i="5"/>
  <c r="M388" i="5"/>
  <c r="L388" i="5"/>
  <c r="K388" i="5"/>
  <c r="J388" i="5"/>
  <c r="W388" i="5" s="1"/>
  <c r="I388" i="5"/>
  <c r="H388" i="5"/>
  <c r="G388" i="5"/>
  <c r="S388" i="5" s="1"/>
  <c r="F388" i="5"/>
  <c r="E388" i="5"/>
  <c r="D388" i="5"/>
  <c r="C388" i="5"/>
  <c r="P388" i="5" s="1"/>
  <c r="B388" i="5"/>
  <c r="A388" i="5"/>
  <c r="V387" i="5"/>
  <c r="T387" i="5"/>
  <c r="R387" i="5"/>
  <c r="S387" i="5" s="1"/>
  <c r="M387" i="5"/>
  <c r="L387" i="5"/>
  <c r="K387" i="5"/>
  <c r="J387" i="5"/>
  <c r="W387" i="5" s="1"/>
  <c r="I387" i="5"/>
  <c r="H387" i="5"/>
  <c r="G387" i="5"/>
  <c r="F387" i="5"/>
  <c r="E387" i="5"/>
  <c r="D387" i="5"/>
  <c r="C387" i="5"/>
  <c r="B387" i="5"/>
  <c r="U387" i="5" s="1"/>
  <c r="A387" i="5"/>
  <c r="W386" i="5"/>
  <c r="U386" i="5"/>
  <c r="T386" i="5"/>
  <c r="R386" i="5"/>
  <c r="Q386" i="5"/>
  <c r="M386" i="5"/>
  <c r="L386" i="5"/>
  <c r="K386" i="5"/>
  <c r="J386" i="5"/>
  <c r="I386" i="5"/>
  <c r="V386" i="5" s="1"/>
  <c r="H386" i="5"/>
  <c r="G386" i="5"/>
  <c r="F386" i="5"/>
  <c r="E386" i="5"/>
  <c r="D386" i="5"/>
  <c r="C386" i="5"/>
  <c r="B386" i="5"/>
  <c r="A386" i="5"/>
  <c r="W385" i="5"/>
  <c r="U385" i="5"/>
  <c r="T385" i="5"/>
  <c r="R385" i="5"/>
  <c r="O385" i="5"/>
  <c r="N385" i="5"/>
  <c r="M385" i="5"/>
  <c r="L385" i="5"/>
  <c r="K385" i="5"/>
  <c r="J385" i="5"/>
  <c r="I385" i="5"/>
  <c r="V385" i="5" s="1"/>
  <c r="H385" i="5"/>
  <c r="G385" i="5"/>
  <c r="F385" i="5"/>
  <c r="E385" i="5"/>
  <c r="D385" i="5"/>
  <c r="C385" i="5"/>
  <c r="P385" i="5" s="1"/>
  <c r="B385" i="5"/>
  <c r="A385" i="5"/>
  <c r="V384" i="5"/>
  <c r="U384" i="5"/>
  <c r="T384" i="5"/>
  <c r="R384" i="5"/>
  <c r="O384" i="5"/>
  <c r="M384" i="5"/>
  <c r="L384" i="5"/>
  <c r="K384" i="5"/>
  <c r="J384" i="5"/>
  <c r="W384" i="5" s="1"/>
  <c r="I384" i="5"/>
  <c r="H384" i="5"/>
  <c r="G384" i="5"/>
  <c r="S384" i="5" s="1"/>
  <c r="F384" i="5"/>
  <c r="E384" i="5"/>
  <c r="D384" i="5"/>
  <c r="C384" i="5"/>
  <c r="P384" i="5" s="1"/>
  <c r="B384" i="5"/>
  <c r="A384" i="5"/>
  <c r="V383" i="5"/>
  <c r="T383" i="5"/>
  <c r="R383" i="5"/>
  <c r="S383" i="5" s="1"/>
  <c r="M383" i="5"/>
  <c r="L383" i="5"/>
  <c r="K383" i="5"/>
  <c r="J383" i="5"/>
  <c r="W383" i="5" s="1"/>
  <c r="I383" i="5"/>
  <c r="H383" i="5"/>
  <c r="G383" i="5"/>
  <c r="F383" i="5"/>
  <c r="E383" i="5"/>
  <c r="D383" i="5"/>
  <c r="C383" i="5"/>
  <c r="B383" i="5"/>
  <c r="U383" i="5" s="1"/>
  <c r="A383" i="5"/>
  <c r="T382" i="5"/>
  <c r="R382" i="5"/>
  <c r="Q382" i="5"/>
  <c r="P382" i="5"/>
  <c r="O382" i="5"/>
  <c r="N382" i="5"/>
  <c r="M382" i="5"/>
  <c r="L382" i="5"/>
  <c r="K382" i="5"/>
  <c r="J382" i="5"/>
  <c r="W382" i="5" s="1"/>
  <c r="I382" i="5"/>
  <c r="V382" i="5" s="1"/>
  <c r="H382" i="5"/>
  <c r="G382" i="5"/>
  <c r="F382" i="5"/>
  <c r="E382" i="5"/>
  <c r="D382" i="5"/>
  <c r="C382" i="5"/>
  <c r="B382" i="5"/>
  <c r="U382" i="5" s="1"/>
  <c r="A382" i="5"/>
  <c r="T381" i="5"/>
  <c r="R381" i="5"/>
  <c r="Q381" i="5"/>
  <c r="P381" i="5"/>
  <c r="O381" i="5"/>
  <c r="N381" i="5"/>
  <c r="M381" i="5"/>
  <c r="L381" i="5"/>
  <c r="K381" i="5"/>
  <c r="J381" i="5"/>
  <c r="W381" i="5" s="1"/>
  <c r="I381" i="5"/>
  <c r="V381" i="5" s="1"/>
  <c r="H381" i="5"/>
  <c r="G381" i="5"/>
  <c r="F381" i="5"/>
  <c r="E381" i="5"/>
  <c r="D381" i="5"/>
  <c r="C381" i="5"/>
  <c r="B381" i="5"/>
  <c r="U381" i="5" s="1"/>
  <c r="A381" i="5"/>
  <c r="T380" i="5"/>
  <c r="R380" i="5"/>
  <c r="Q380" i="5"/>
  <c r="P380" i="5"/>
  <c r="O380" i="5"/>
  <c r="N380" i="5"/>
  <c r="M380" i="5"/>
  <c r="L380" i="5"/>
  <c r="K380" i="5"/>
  <c r="J380" i="5"/>
  <c r="W380" i="5" s="1"/>
  <c r="I380" i="5"/>
  <c r="V380" i="5" s="1"/>
  <c r="H380" i="5"/>
  <c r="G380" i="5"/>
  <c r="S380" i="5" s="1"/>
  <c r="F380" i="5"/>
  <c r="E380" i="5"/>
  <c r="D380" i="5"/>
  <c r="C380" i="5"/>
  <c r="B380" i="5"/>
  <c r="U380" i="5" s="1"/>
  <c r="A380" i="5"/>
  <c r="T379" i="5"/>
  <c r="R379" i="5"/>
  <c r="Q379" i="5"/>
  <c r="P379" i="5"/>
  <c r="O379" i="5"/>
  <c r="N379" i="5"/>
  <c r="M379" i="5"/>
  <c r="L379" i="5"/>
  <c r="K379" i="5"/>
  <c r="J379" i="5"/>
  <c r="W379" i="5" s="1"/>
  <c r="I379" i="5"/>
  <c r="V379" i="5" s="1"/>
  <c r="H379" i="5"/>
  <c r="G379" i="5"/>
  <c r="F379" i="5"/>
  <c r="E379" i="5"/>
  <c r="D379" i="5"/>
  <c r="C379" i="5"/>
  <c r="B379" i="5"/>
  <c r="U379" i="5" s="1"/>
  <c r="A379" i="5"/>
  <c r="T378" i="5"/>
  <c r="R378" i="5"/>
  <c r="Q378" i="5"/>
  <c r="P378" i="5"/>
  <c r="O378" i="5"/>
  <c r="N378" i="5"/>
  <c r="M378" i="5"/>
  <c r="L378" i="5"/>
  <c r="K378" i="5"/>
  <c r="J378" i="5"/>
  <c r="W378" i="5" s="1"/>
  <c r="I378" i="5"/>
  <c r="V378" i="5" s="1"/>
  <c r="H378" i="5"/>
  <c r="G378" i="5"/>
  <c r="S378" i="5" s="1"/>
  <c r="F378" i="5"/>
  <c r="E378" i="5"/>
  <c r="D378" i="5"/>
  <c r="C378" i="5"/>
  <c r="B378" i="5"/>
  <c r="U378" i="5" s="1"/>
  <c r="A378" i="5"/>
  <c r="T377" i="5"/>
  <c r="R377" i="5"/>
  <c r="Q377" i="5"/>
  <c r="P377" i="5"/>
  <c r="O377" i="5"/>
  <c r="N377" i="5"/>
  <c r="M377" i="5"/>
  <c r="L377" i="5"/>
  <c r="K377" i="5"/>
  <c r="J377" i="5"/>
  <c r="W377" i="5" s="1"/>
  <c r="I377" i="5"/>
  <c r="V377" i="5" s="1"/>
  <c r="H377" i="5"/>
  <c r="G377" i="5"/>
  <c r="F377" i="5"/>
  <c r="E377" i="5"/>
  <c r="D377" i="5"/>
  <c r="C377" i="5"/>
  <c r="B377" i="5"/>
  <c r="U377" i="5" s="1"/>
  <c r="A377" i="5"/>
  <c r="T376" i="5"/>
  <c r="R376" i="5"/>
  <c r="Q376" i="5"/>
  <c r="P376" i="5"/>
  <c r="O376" i="5"/>
  <c r="N376" i="5"/>
  <c r="M376" i="5"/>
  <c r="L376" i="5"/>
  <c r="K376" i="5"/>
  <c r="J376" i="5"/>
  <c r="W376" i="5" s="1"/>
  <c r="I376" i="5"/>
  <c r="V376" i="5" s="1"/>
  <c r="H376" i="5"/>
  <c r="G376" i="5"/>
  <c r="F376" i="5"/>
  <c r="E376" i="5"/>
  <c r="D376" i="5"/>
  <c r="C376" i="5"/>
  <c r="B376" i="5"/>
  <c r="U376" i="5" s="1"/>
  <c r="A376" i="5"/>
  <c r="T375" i="5"/>
  <c r="R375" i="5"/>
  <c r="Q375" i="5"/>
  <c r="P375" i="5"/>
  <c r="O375" i="5"/>
  <c r="N375" i="5"/>
  <c r="M375" i="5"/>
  <c r="L375" i="5"/>
  <c r="K375" i="5"/>
  <c r="J375" i="5"/>
  <c r="W375" i="5" s="1"/>
  <c r="I375" i="5"/>
  <c r="V375" i="5" s="1"/>
  <c r="H375" i="5"/>
  <c r="G375" i="5"/>
  <c r="F375" i="5"/>
  <c r="E375" i="5"/>
  <c r="D375" i="5"/>
  <c r="C375" i="5"/>
  <c r="B375" i="5"/>
  <c r="U375" i="5" s="1"/>
  <c r="A375" i="5"/>
  <c r="T374" i="5"/>
  <c r="R374" i="5"/>
  <c r="Q374" i="5"/>
  <c r="P374" i="5"/>
  <c r="O374" i="5"/>
  <c r="N374" i="5"/>
  <c r="M374" i="5"/>
  <c r="L374" i="5"/>
  <c r="K374" i="5"/>
  <c r="J374" i="5"/>
  <c r="W374" i="5" s="1"/>
  <c r="I374" i="5"/>
  <c r="V374" i="5" s="1"/>
  <c r="H374" i="5"/>
  <c r="G374" i="5"/>
  <c r="F374" i="5"/>
  <c r="E374" i="5"/>
  <c r="D374" i="5"/>
  <c r="C374" i="5"/>
  <c r="B374" i="5"/>
  <c r="U374" i="5" s="1"/>
  <c r="A374" i="5"/>
  <c r="T373" i="5"/>
  <c r="R373" i="5"/>
  <c r="Q373" i="5"/>
  <c r="P373" i="5"/>
  <c r="O373" i="5"/>
  <c r="N373" i="5"/>
  <c r="M373" i="5"/>
  <c r="L373" i="5"/>
  <c r="K373" i="5"/>
  <c r="J373" i="5"/>
  <c r="W373" i="5" s="1"/>
  <c r="I373" i="5"/>
  <c r="V373" i="5" s="1"/>
  <c r="H373" i="5"/>
  <c r="G373" i="5"/>
  <c r="F373" i="5"/>
  <c r="E373" i="5"/>
  <c r="D373" i="5"/>
  <c r="C373" i="5"/>
  <c r="B373" i="5"/>
  <c r="U373" i="5" s="1"/>
  <c r="A373" i="5"/>
  <c r="T372" i="5"/>
  <c r="R372" i="5"/>
  <c r="Q372" i="5"/>
  <c r="P372" i="5"/>
  <c r="O372" i="5"/>
  <c r="N372" i="5"/>
  <c r="M372" i="5"/>
  <c r="L372" i="5"/>
  <c r="K372" i="5"/>
  <c r="J372" i="5"/>
  <c r="W372" i="5" s="1"/>
  <c r="I372" i="5"/>
  <c r="V372" i="5" s="1"/>
  <c r="H372" i="5"/>
  <c r="G372" i="5"/>
  <c r="S372" i="5" s="1"/>
  <c r="F372" i="5"/>
  <c r="E372" i="5"/>
  <c r="D372" i="5"/>
  <c r="C372" i="5"/>
  <c r="B372" i="5"/>
  <c r="U372" i="5" s="1"/>
  <c r="A372" i="5"/>
  <c r="T371" i="5"/>
  <c r="R371" i="5"/>
  <c r="Q371" i="5"/>
  <c r="P371" i="5"/>
  <c r="O371" i="5"/>
  <c r="N371" i="5"/>
  <c r="M371" i="5"/>
  <c r="L371" i="5"/>
  <c r="K371" i="5"/>
  <c r="J371" i="5"/>
  <c r="W371" i="5" s="1"/>
  <c r="I371" i="5"/>
  <c r="V371" i="5" s="1"/>
  <c r="H371" i="5"/>
  <c r="G371" i="5"/>
  <c r="F371" i="5"/>
  <c r="E371" i="5"/>
  <c r="D371" i="5"/>
  <c r="C371" i="5"/>
  <c r="B371" i="5"/>
  <c r="U371" i="5" s="1"/>
  <c r="A371" i="5"/>
  <c r="T370" i="5"/>
  <c r="R370" i="5"/>
  <c r="Q370" i="5"/>
  <c r="P370" i="5"/>
  <c r="O370" i="5"/>
  <c r="N370" i="5"/>
  <c r="M370" i="5"/>
  <c r="L370" i="5"/>
  <c r="K370" i="5"/>
  <c r="J370" i="5"/>
  <c r="W370" i="5" s="1"/>
  <c r="I370" i="5"/>
  <c r="V370" i="5" s="1"/>
  <c r="H370" i="5"/>
  <c r="G370" i="5"/>
  <c r="S370" i="5" s="1"/>
  <c r="F370" i="5"/>
  <c r="E370" i="5"/>
  <c r="D370" i="5"/>
  <c r="C370" i="5"/>
  <c r="B370" i="5"/>
  <c r="U370" i="5" s="1"/>
  <c r="A370" i="5"/>
  <c r="T369" i="5"/>
  <c r="R369" i="5"/>
  <c r="Q369" i="5"/>
  <c r="P369" i="5"/>
  <c r="O369" i="5"/>
  <c r="N369" i="5"/>
  <c r="M369" i="5"/>
  <c r="L369" i="5"/>
  <c r="K369" i="5"/>
  <c r="J369" i="5"/>
  <c r="W369" i="5" s="1"/>
  <c r="I369" i="5"/>
  <c r="V369" i="5" s="1"/>
  <c r="H369" i="5"/>
  <c r="G369" i="5"/>
  <c r="F369" i="5"/>
  <c r="E369" i="5"/>
  <c r="D369" i="5"/>
  <c r="C369" i="5"/>
  <c r="B369" i="5"/>
  <c r="U369" i="5" s="1"/>
  <c r="A369" i="5"/>
  <c r="T368" i="5"/>
  <c r="R368" i="5"/>
  <c r="Q368" i="5"/>
  <c r="P368" i="5"/>
  <c r="O368" i="5"/>
  <c r="N368" i="5"/>
  <c r="M368" i="5"/>
  <c r="L368" i="5"/>
  <c r="K368" i="5"/>
  <c r="J368" i="5"/>
  <c r="W368" i="5" s="1"/>
  <c r="I368" i="5"/>
  <c r="V368" i="5" s="1"/>
  <c r="H368" i="5"/>
  <c r="G368" i="5"/>
  <c r="F368" i="5"/>
  <c r="E368" i="5"/>
  <c r="D368" i="5"/>
  <c r="C368" i="5"/>
  <c r="B368" i="5"/>
  <c r="U368" i="5" s="1"/>
  <c r="A368" i="5"/>
  <c r="T367" i="5"/>
  <c r="Q367" i="5"/>
  <c r="P367" i="5"/>
  <c r="O367" i="5"/>
  <c r="N367" i="5"/>
  <c r="M367" i="5"/>
  <c r="L367" i="5"/>
  <c r="K367" i="5"/>
  <c r="J367" i="5"/>
  <c r="W367" i="5" s="1"/>
  <c r="I367" i="5"/>
  <c r="V367" i="5" s="1"/>
  <c r="H367" i="5"/>
  <c r="G367" i="5"/>
  <c r="F367" i="5"/>
  <c r="R367" i="5" s="1"/>
  <c r="E367" i="5"/>
  <c r="D367" i="5"/>
  <c r="C367" i="5"/>
  <c r="B367" i="5"/>
  <c r="U367" i="5" s="1"/>
  <c r="A367" i="5"/>
  <c r="V366" i="5"/>
  <c r="T366" i="5"/>
  <c r="R366" i="5"/>
  <c r="Q366" i="5"/>
  <c r="P366" i="5"/>
  <c r="O366" i="5"/>
  <c r="N366" i="5"/>
  <c r="M366" i="5"/>
  <c r="L366" i="5"/>
  <c r="K366" i="5"/>
  <c r="J366" i="5"/>
  <c r="W366" i="5" s="1"/>
  <c r="I366" i="5"/>
  <c r="H366" i="5"/>
  <c r="G366" i="5"/>
  <c r="F366" i="5"/>
  <c r="E366" i="5"/>
  <c r="D366" i="5"/>
  <c r="C366" i="5"/>
  <c r="B366" i="5"/>
  <c r="U366" i="5" s="1"/>
  <c r="A366" i="5"/>
  <c r="T365" i="5"/>
  <c r="Q365" i="5"/>
  <c r="P365" i="5"/>
  <c r="O365" i="5"/>
  <c r="N365" i="5"/>
  <c r="M365" i="5"/>
  <c r="L365" i="5"/>
  <c r="K365" i="5"/>
  <c r="J365" i="5"/>
  <c r="W365" i="5" s="1"/>
  <c r="I365" i="5"/>
  <c r="V365" i="5" s="1"/>
  <c r="H365" i="5"/>
  <c r="G365" i="5"/>
  <c r="F365" i="5"/>
  <c r="R365" i="5" s="1"/>
  <c r="E365" i="5"/>
  <c r="D365" i="5"/>
  <c r="C365" i="5"/>
  <c r="B365" i="5"/>
  <c r="U365" i="5" s="1"/>
  <c r="A365" i="5"/>
  <c r="V364" i="5"/>
  <c r="T364" i="5"/>
  <c r="R364" i="5"/>
  <c r="Q364" i="5"/>
  <c r="P364" i="5"/>
  <c r="O364" i="5"/>
  <c r="N364" i="5"/>
  <c r="M364" i="5"/>
  <c r="L364" i="5"/>
  <c r="K364" i="5"/>
  <c r="J364" i="5"/>
  <c r="W364" i="5" s="1"/>
  <c r="I364" i="5"/>
  <c r="H364" i="5"/>
  <c r="G364" i="5"/>
  <c r="S364" i="5" s="1"/>
  <c r="F364" i="5"/>
  <c r="E364" i="5"/>
  <c r="D364" i="5"/>
  <c r="C364" i="5"/>
  <c r="B364" i="5"/>
  <c r="U364" i="5" s="1"/>
  <c r="A364" i="5"/>
  <c r="T363" i="5"/>
  <c r="Q363" i="5"/>
  <c r="P363" i="5"/>
  <c r="O363" i="5"/>
  <c r="N363" i="5"/>
  <c r="M363" i="5"/>
  <c r="L363" i="5"/>
  <c r="K363" i="5"/>
  <c r="J363" i="5"/>
  <c r="W363" i="5" s="1"/>
  <c r="I363" i="5"/>
  <c r="V363" i="5" s="1"/>
  <c r="H363" i="5"/>
  <c r="G363" i="5"/>
  <c r="F363" i="5"/>
  <c r="R363" i="5" s="1"/>
  <c r="E363" i="5"/>
  <c r="D363" i="5"/>
  <c r="C363" i="5"/>
  <c r="B363" i="5"/>
  <c r="U363" i="5" s="1"/>
  <c r="A363" i="5"/>
  <c r="V362" i="5"/>
  <c r="T362" i="5"/>
  <c r="R362" i="5"/>
  <c r="Q362" i="5"/>
  <c r="P362" i="5"/>
  <c r="O362" i="5"/>
  <c r="N362" i="5"/>
  <c r="M362" i="5"/>
  <c r="L362" i="5"/>
  <c r="K362" i="5"/>
  <c r="J362" i="5"/>
  <c r="W362" i="5" s="1"/>
  <c r="I362" i="5"/>
  <c r="H362" i="5"/>
  <c r="G362" i="5"/>
  <c r="F362" i="5"/>
  <c r="E362" i="5"/>
  <c r="D362" i="5"/>
  <c r="C362" i="5"/>
  <c r="B362" i="5"/>
  <c r="U362" i="5" s="1"/>
  <c r="A362" i="5"/>
  <c r="V361" i="5"/>
  <c r="T361" i="5"/>
  <c r="Q361" i="5"/>
  <c r="P361" i="5"/>
  <c r="O361" i="5"/>
  <c r="N361" i="5"/>
  <c r="M361" i="5"/>
  <c r="L361" i="5"/>
  <c r="K361" i="5"/>
  <c r="J361" i="5"/>
  <c r="W361" i="5" s="1"/>
  <c r="I361" i="5"/>
  <c r="H361" i="5"/>
  <c r="G361" i="5"/>
  <c r="F361" i="5"/>
  <c r="R361" i="5" s="1"/>
  <c r="E361" i="5"/>
  <c r="D361" i="5"/>
  <c r="C361" i="5"/>
  <c r="B361" i="5"/>
  <c r="U361" i="5" s="1"/>
  <c r="A361" i="5"/>
  <c r="V360" i="5"/>
  <c r="T360" i="5"/>
  <c r="R360" i="5"/>
  <c r="Q360" i="5"/>
  <c r="P360" i="5"/>
  <c r="O360" i="5"/>
  <c r="N360" i="5"/>
  <c r="M360" i="5"/>
  <c r="L360" i="5"/>
  <c r="K360" i="5"/>
  <c r="J360" i="5"/>
  <c r="W360" i="5" s="1"/>
  <c r="I360" i="5"/>
  <c r="H360" i="5"/>
  <c r="G360" i="5"/>
  <c r="F360" i="5"/>
  <c r="E360" i="5"/>
  <c r="D360" i="5"/>
  <c r="C360" i="5"/>
  <c r="B360" i="5"/>
  <c r="U360" i="5" s="1"/>
  <c r="A360" i="5"/>
  <c r="T359" i="5"/>
  <c r="Q359" i="5"/>
  <c r="P359" i="5"/>
  <c r="O359" i="5"/>
  <c r="N359" i="5"/>
  <c r="M359" i="5"/>
  <c r="L359" i="5"/>
  <c r="K359" i="5"/>
  <c r="J359" i="5"/>
  <c r="W359" i="5" s="1"/>
  <c r="I359" i="5"/>
  <c r="V359" i="5" s="1"/>
  <c r="H359" i="5"/>
  <c r="G359" i="5"/>
  <c r="F359" i="5"/>
  <c r="R359" i="5" s="1"/>
  <c r="E359" i="5"/>
  <c r="D359" i="5"/>
  <c r="C359" i="5"/>
  <c r="B359" i="5"/>
  <c r="U359" i="5" s="1"/>
  <c r="A359" i="5"/>
  <c r="T358" i="5"/>
  <c r="R358" i="5"/>
  <c r="Q358" i="5"/>
  <c r="P358" i="5"/>
  <c r="O358" i="5"/>
  <c r="N358" i="5"/>
  <c r="M358" i="5"/>
  <c r="L358" i="5"/>
  <c r="K358" i="5"/>
  <c r="J358" i="5"/>
  <c r="W358" i="5" s="1"/>
  <c r="I358" i="5"/>
  <c r="V358" i="5" s="1"/>
  <c r="H358" i="5"/>
  <c r="G358" i="5"/>
  <c r="F358" i="5"/>
  <c r="E358" i="5"/>
  <c r="D358" i="5"/>
  <c r="C358" i="5"/>
  <c r="B358" i="5"/>
  <c r="U358" i="5" s="1"/>
  <c r="A358" i="5"/>
  <c r="V357" i="5"/>
  <c r="T357" i="5"/>
  <c r="Q357" i="5"/>
  <c r="P357" i="5"/>
  <c r="O357" i="5"/>
  <c r="N357" i="5"/>
  <c r="M357" i="5"/>
  <c r="L357" i="5"/>
  <c r="K357" i="5"/>
  <c r="J357" i="5"/>
  <c r="W357" i="5" s="1"/>
  <c r="I357" i="5"/>
  <c r="H357" i="5"/>
  <c r="G357" i="5"/>
  <c r="F357" i="5"/>
  <c r="R357" i="5" s="1"/>
  <c r="E357" i="5"/>
  <c r="D357" i="5"/>
  <c r="C357" i="5"/>
  <c r="B357" i="5"/>
  <c r="U357" i="5" s="1"/>
  <c r="A357" i="5"/>
  <c r="T356" i="5"/>
  <c r="R356" i="5"/>
  <c r="Q356" i="5"/>
  <c r="P356" i="5"/>
  <c r="O356" i="5"/>
  <c r="N356" i="5"/>
  <c r="M356" i="5"/>
  <c r="L356" i="5"/>
  <c r="K356" i="5"/>
  <c r="J356" i="5"/>
  <c r="W356" i="5" s="1"/>
  <c r="I356" i="5"/>
  <c r="V356" i="5" s="1"/>
  <c r="H356" i="5"/>
  <c r="G356" i="5"/>
  <c r="S356" i="5" s="1"/>
  <c r="F356" i="5"/>
  <c r="E356" i="5"/>
  <c r="D356" i="5"/>
  <c r="C356" i="5"/>
  <c r="B356" i="5"/>
  <c r="U356" i="5" s="1"/>
  <c r="A356" i="5"/>
  <c r="V355" i="5"/>
  <c r="T355" i="5"/>
  <c r="Q355" i="5"/>
  <c r="P355" i="5"/>
  <c r="O355" i="5"/>
  <c r="N355" i="5"/>
  <c r="M355" i="5"/>
  <c r="L355" i="5"/>
  <c r="K355" i="5"/>
  <c r="J355" i="5"/>
  <c r="W355" i="5" s="1"/>
  <c r="I355" i="5"/>
  <c r="H355" i="5"/>
  <c r="G355" i="5"/>
  <c r="F355" i="5"/>
  <c r="R355" i="5" s="1"/>
  <c r="E355" i="5"/>
  <c r="D355" i="5"/>
  <c r="C355" i="5"/>
  <c r="B355" i="5"/>
  <c r="U355" i="5" s="1"/>
  <c r="A355" i="5"/>
  <c r="T354" i="5"/>
  <c r="R354" i="5"/>
  <c r="Q354" i="5"/>
  <c r="P354" i="5"/>
  <c r="O354" i="5"/>
  <c r="N354" i="5"/>
  <c r="M354" i="5"/>
  <c r="L354" i="5"/>
  <c r="K354" i="5"/>
  <c r="J354" i="5"/>
  <c r="W354" i="5" s="1"/>
  <c r="I354" i="5"/>
  <c r="V354" i="5" s="1"/>
  <c r="H354" i="5"/>
  <c r="G354" i="5"/>
  <c r="S354" i="5" s="1"/>
  <c r="F354" i="5"/>
  <c r="E354" i="5"/>
  <c r="D354" i="5"/>
  <c r="C354" i="5"/>
  <c r="B354" i="5"/>
  <c r="U354" i="5" s="1"/>
  <c r="A354" i="5"/>
  <c r="T353" i="5"/>
  <c r="Q353" i="5"/>
  <c r="P353" i="5"/>
  <c r="O353" i="5"/>
  <c r="N353" i="5"/>
  <c r="M353" i="5"/>
  <c r="L353" i="5"/>
  <c r="K353" i="5"/>
  <c r="J353" i="5"/>
  <c r="W353" i="5" s="1"/>
  <c r="I353" i="5"/>
  <c r="V353" i="5" s="1"/>
  <c r="H353" i="5"/>
  <c r="G353" i="5"/>
  <c r="F353" i="5"/>
  <c r="R353" i="5" s="1"/>
  <c r="E353" i="5"/>
  <c r="D353" i="5"/>
  <c r="C353" i="5"/>
  <c r="B353" i="5"/>
  <c r="U353" i="5" s="1"/>
  <c r="A353" i="5"/>
  <c r="Q352" i="5"/>
  <c r="P352" i="5"/>
  <c r="O352" i="5"/>
  <c r="N352" i="5"/>
  <c r="M352" i="5"/>
  <c r="L352" i="5"/>
  <c r="K352" i="5"/>
  <c r="J352" i="5"/>
  <c r="W352" i="5" s="1"/>
  <c r="I352" i="5"/>
  <c r="V352" i="5" s="1"/>
  <c r="H352" i="5"/>
  <c r="T352" i="5" s="1"/>
  <c r="G352" i="5"/>
  <c r="F352" i="5"/>
  <c r="R352" i="5" s="1"/>
  <c r="E352" i="5"/>
  <c r="D352" i="5"/>
  <c r="C352" i="5"/>
  <c r="B352" i="5"/>
  <c r="U352" i="5" s="1"/>
  <c r="A352" i="5"/>
  <c r="V351" i="5"/>
  <c r="T351" i="5"/>
  <c r="Q351" i="5"/>
  <c r="P351" i="5"/>
  <c r="O351" i="5"/>
  <c r="N351" i="5"/>
  <c r="M351" i="5"/>
  <c r="L351" i="5"/>
  <c r="K351" i="5"/>
  <c r="J351" i="5"/>
  <c r="W351" i="5" s="1"/>
  <c r="I351" i="5"/>
  <c r="H351" i="5"/>
  <c r="G351" i="5"/>
  <c r="F351" i="5"/>
  <c r="R351" i="5" s="1"/>
  <c r="E351" i="5"/>
  <c r="D351" i="5"/>
  <c r="C351" i="5"/>
  <c r="B351" i="5"/>
  <c r="U351" i="5" s="1"/>
  <c r="A351" i="5"/>
  <c r="T350" i="5"/>
  <c r="R350" i="5"/>
  <c r="Q350" i="5"/>
  <c r="P350" i="5"/>
  <c r="O350" i="5"/>
  <c r="N350" i="5"/>
  <c r="M350" i="5"/>
  <c r="L350" i="5"/>
  <c r="K350" i="5"/>
  <c r="J350" i="5"/>
  <c r="W350" i="5" s="1"/>
  <c r="I350" i="5"/>
  <c r="V350" i="5" s="1"/>
  <c r="H350" i="5"/>
  <c r="G350" i="5"/>
  <c r="F350" i="5"/>
  <c r="E350" i="5"/>
  <c r="D350" i="5"/>
  <c r="C350" i="5"/>
  <c r="B350" i="5"/>
  <c r="U350" i="5" s="1"/>
  <c r="A350" i="5"/>
  <c r="R349" i="5"/>
  <c r="Q349" i="5"/>
  <c r="P349" i="5"/>
  <c r="O349" i="5"/>
  <c r="N349" i="5"/>
  <c r="M349" i="5"/>
  <c r="L349" i="5"/>
  <c r="K349" i="5"/>
  <c r="J349" i="5"/>
  <c r="W349" i="5" s="1"/>
  <c r="I349" i="5"/>
  <c r="V349" i="5" s="1"/>
  <c r="H349" i="5"/>
  <c r="T349" i="5" s="1"/>
  <c r="G349" i="5"/>
  <c r="S349" i="5" s="1"/>
  <c r="F349" i="5"/>
  <c r="E349" i="5"/>
  <c r="D349" i="5"/>
  <c r="C349" i="5"/>
  <c r="B349" i="5"/>
  <c r="U349" i="5" s="1"/>
  <c r="A349" i="5"/>
  <c r="W348" i="5"/>
  <c r="R348" i="5"/>
  <c r="Q348" i="5"/>
  <c r="P348" i="5"/>
  <c r="O348" i="5"/>
  <c r="N348" i="5"/>
  <c r="M348" i="5"/>
  <c r="L348" i="5"/>
  <c r="K348" i="5"/>
  <c r="J348" i="5"/>
  <c r="I348" i="5"/>
  <c r="V348" i="5" s="1"/>
  <c r="H348" i="5"/>
  <c r="T348" i="5" s="1"/>
  <c r="G348" i="5"/>
  <c r="F348" i="5"/>
  <c r="E348" i="5"/>
  <c r="D348" i="5"/>
  <c r="C348" i="5"/>
  <c r="B348" i="5"/>
  <c r="U348" i="5" s="1"/>
  <c r="A348" i="5"/>
  <c r="W347" i="5"/>
  <c r="V347" i="5"/>
  <c r="Q347" i="5"/>
  <c r="P347" i="5"/>
  <c r="O347" i="5"/>
  <c r="N347" i="5"/>
  <c r="M347" i="5"/>
  <c r="L347" i="5"/>
  <c r="K347" i="5"/>
  <c r="J347" i="5"/>
  <c r="I347" i="5"/>
  <c r="H347" i="5"/>
  <c r="T347" i="5" s="1"/>
  <c r="G347" i="5"/>
  <c r="F347" i="5"/>
  <c r="R347" i="5" s="1"/>
  <c r="E347" i="5"/>
  <c r="D347" i="5"/>
  <c r="C347" i="5"/>
  <c r="B347" i="5"/>
  <c r="U347" i="5" s="1"/>
  <c r="A347" i="5"/>
  <c r="V346" i="5"/>
  <c r="T346" i="5"/>
  <c r="R346" i="5"/>
  <c r="Q346" i="5"/>
  <c r="P346" i="5"/>
  <c r="O346" i="5"/>
  <c r="N346" i="5"/>
  <c r="M346" i="5"/>
  <c r="L346" i="5"/>
  <c r="K346" i="5"/>
  <c r="J346" i="5"/>
  <c r="W346" i="5" s="1"/>
  <c r="I346" i="5"/>
  <c r="H346" i="5"/>
  <c r="G346" i="5"/>
  <c r="F346" i="5"/>
  <c r="E346" i="5"/>
  <c r="D346" i="5"/>
  <c r="C346" i="5"/>
  <c r="B346" i="5"/>
  <c r="U346" i="5" s="1"/>
  <c r="A346" i="5"/>
  <c r="V345" i="5"/>
  <c r="R345" i="5"/>
  <c r="Q345" i="5"/>
  <c r="P345" i="5"/>
  <c r="O345" i="5"/>
  <c r="N345" i="5"/>
  <c r="M345" i="5"/>
  <c r="L345" i="5"/>
  <c r="K345" i="5"/>
  <c r="J345" i="5"/>
  <c r="W345" i="5" s="1"/>
  <c r="I345" i="5"/>
  <c r="H345" i="5"/>
  <c r="T345" i="5" s="1"/>
  <c r="G345" i="5"/>
  <c r="F345" i="5"/>
  <c r="E345" i="5"/>
  <c r="D345" i="5"/>
  <c r="C345" i="5"/>
  <c r="B345" i="5"/>
  <c r="U345" i="5" s="1"/>
  <c r="A345" i="5"/>
  <c r="V344" i="5"/>
  <c r="R344" i="5"/>
  <c r="Q344" i="5"/>
  <c r="P344" i="5"/>
  <c r="O344" i="5"/>
  <c r="N344" i="5"/>
  <c r="M344" i="5"/>
  <c r="L344" i="5"/>
  <c r="K344" i="5"/>
  <c r="J344" i="5"/>
  <c r="W344" i="5" s="1"/>
  <c r="I344" i="5"/>
  <c r="H344" i="5"/>
  <c r="T344" i="5" s="1"/>
  <c r="G344" i="5"/>
  <c r="F344" i="5"/>
  <c r="E344" i="5"/>
  <c r="D344" i="5"/>
  <c r="C344" i="5"/>
  <c r="B344" i="5"/>
  <c r="U344" i="5" s="1"/>
  <c r="A344" i="5"/>
  <c r="W343" i="5"/>
  <c r="V343" i="5"/>
  <c r="T343" i="5"/>
  <c r="Q343" i="5"/>
  <c r="P343" i="5"/>
  <c r="O343" i="5"/>
  <c r="N343" i="5"/>
  <c r="M343" i="5"/>
  <c r="L343" i="5"/>
  <c r="K343" i="5"/>
  <c r="J343" i="5"/>
  <c r="I343" i="5"/>
  <c r="H343" i="5"/>
  <c r="G343" i="5"/>
  <c r="F343" i="5"/>
  <c r="R343" i="5" s="1"/>
  <c r="E343" i="5"/>
  <c r="D343" i="5"/>
  <c r="C343" i="5"/>
  <c r="B343" i="5"/>
  <c r="U343" i="5" s="1"/>
  <c r="A343" i="5"/>
  <c r="V342" i="5"/>
  <c r="T342" i="5"/>
  <c r="Q342" i="5"/>
  <c r="P342" i="5"/>
  <c r="O342" i="5"/>
  <c r="N342" i="5"/>
  <c r="M342" i="5"/>
  <c r="L342" i="5"/>
  <c r="K342" i="5"/>
  <c r="J342" i="5"/>
  <c r="W342" i="5" s="1"/>
  <c r="I342" i="5"/>
  <c r="H342" i="5"/>
  <c r="G342" i="5"/>
  <c r="F342" i="5"/>
  <c r="R342" i="5" s="1"/>
  <c r="E342" i="5"/>
  <c r="D342" i="5"/>
  <c r="C342" i="5"/>
  <c r="B342" i="5"/>
  <c r="U342" i="5" s="1"/>
  <c r="A342" i="5"/>
  <c r="R341" i="5"/>
  <c r="Q341" i="5"/>
  <c r="P341" i="5"/>
  <c r="O341" i="5"/>
  <c r="N341" i="5"/>
  <c r="M341" i="5"/>
  <c r="L341" i="5"/>
  <c r="K341" i="5"/>
  <c r="J341" i="5"/>
  <c r="W341" i="5" s="1"/>
  <c r="I341" i="5"/>
  <c r="V341" i="5" s="1"/>
  <c r="H341" i="5"/>
  <c r="T341" i="5" s="1"/>
  <c r="G341" i="5"/>
  <c r="F341" i="5"/>
  <c r="E341" i="5"/>
  <c r="D341" i="5"/>
  <c r="C341" i="5"/>
  <c r="B341" i="5"/>
  <c r="U341" i="5" s="1"/>
  <c r="A341" i="5"/>
  <c r="W340" i="5"/>
  <c r="V340" i="5"/>
  <c r="Q340" i="5"/>
  <c r="P340" i="5"/>
  <c r="O340" i="5"/>
  <c r="N340" i="5"/>
  <c r="M340" i="5"/>
  <c r="L340" i="5"/>
  <c r="K340" i="5"/>
  <c r="J340" i="5"/>
  <c r="I340" i="5"/>
  <c r="H340" i="5"/>
  <c r="T340" i="5" s="1"/>
  <c r="G340" i="5"/>
  <c r="S340" i="5" s="1"/>
  <c r="F340" i="5"/>
  <c r="R340" i="5" s="1"/>
  <c r="E340" i="5"/>
  <c r="D340" i="5"/>
  <c r="C340" i="5"/>
  <c r="B340" i="5"/>
  <c r="U340" i="5" s="1"/>
  <c r="A340" i="5"/>
  <c r="W339" i="5"/>
  <c r="V339" i="5"/>
  <c r="T339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R339" i="5" s="1"/>
  <c r="E339" i="5"/>
  <c r="D339" i="5"/>
  <c r="C339" i="5"/>
  <c r="B339" i="5"/>
  <c r="U339" i="5" s="1"/>
  <c r="A339" i="5"/>
  <c r="Q338" i="5"/>
  <c r="P338" i="5"/>
  <c r="O338" i="5"/>
  <c r="N338" i="5"/>
  <c r="M338" i="5"/>
  <c r="L338" i="5"/>
  <c r="K338" i="5"/>
  <c r="J338" i="5"/>
  <c r="W338" i="5" s="1"/>
  <c r="I338" i="5"/>
  <c r="V338" i="5" s="1"/>
  <c r="H338" i="5"/>
  <c r="T338" i="5" s="1"/>
  <c r="G338" i="5"/>
  <c r="F338" i="5"/>
  <c r="R338" i="5" s="1"/>
  <c r="E338" i="5"/>
  <c r="D338" i="5"/>
  <c r="C338" i="5"/>
  <c r="B338" i="5"/>
  <c r="U338" i="5" s="1"/>
  <c r="A338" i="5"/>
  <c r="V337" i="5"/>
  <c r="R337" i="5"/>
  <c r="Q337" i="5"/>
  <c r="P337" i="5"/>
  <c r="O337" i="5"/>
  <c r="N337" i="5"/>
  <c r="M337" i="5"/>
  <c r="L337" i="5"/>
  <c r="K337" i="5"/>
  <c r="J337" i="5"/>
  <c r="W337" i="5" s="1"/>
  <c r="I337" i="5"/>
  <c r="H337" i="5"/>
  <c r="T337" i="5" s="1"/>
  <c r="G337" i="5"/>
  <c r="F337" i="5"/>
  <c r="E337" i="5"/>
  <c r="D337" i="5"/>
  <c r="C337" i="5"/>
  <c r="B337" i="5"/>
  <c r="U337" i="5" s="1"/>
  <c r="A337" i="5"/>
  <c r="V336" i="5"/>
  <c r="R336" i="5"/>
  <c r="Q336" i="5"/>
  <c r="P336" i="5"/>
  <c r="O336" i="5"/>
  <c r="N336" i="5"/>
  <c r="M336" i="5"/>
  <c r="L336" i="5"/>
  <c r="K336" i="5"/>
  <c r="J336" i="5"/>
  <c r="W336" i="5" s="1"/>
  <c r="I336" i="5"/>
  <c r="H336" i="5"/>
  <c r="T336" i="5" s="1"/>
  <c r="G336" i="5"/>
  <c r="S336" i="5" s="1"/>
  <c r="F336" i="5"/>
  <c r="E336" i="5"/>
  <c r="D336" i="5"/>
  <c r="C336" i="5"/>
  <c r="B336" i="5"/>
  <c r="U336" i="5" s="1"/>
  <c r="A336" i="5"/>
  <c r="W335" i="5"/>
  <c r="V335" i="5"/>
  <c r="Q335" i="5"/>
  <c r="P335" i="5"/>
  <c r="O335" i="5"/>
  <c r="N335" i="5"/>
  <c r="M335" i="5"/>
  <c r="L335" i="5"/>
  <c r="K335" i="5"/>
  <c r="J335" i="5"/>
  <c r="I335" i="5"/>
  <c r="H335" i="5"/>
  <c r="T335" i="5" s="1"/>
  <c r="G335" i="5"/>
  <c r="F335" i="5"/>
  <c r="R335" i="5" s="1"/>
  <c r="E335" i="5"/>
  <c r="D335" i="5"/>
  <c r="C335" i="5"/>
  <c r="B335" i="5"/>
  <c r="U335" i="5" s="1"/>
  <c r="A335" i="5"/>
  <c r="V334" i="5"/>
  <c r="T334" i="5"/>
  <c r="R334" i="5"/>
  <c r="Q334" i="5"/>
  <c r="P334" i="5"/>
  <c r="O334" i="5"/>
  <c r="N334" i="5"/>
  <c r="M334" i="5"/>
  <c r="L334" i="5"/>
  <c r="K334" i="5"/>
  <c r="J334" i="5"/>
  <c r="W334" i="5" s="1"/>
  <c r="I334" i="5"/>
  <c r="H334" i="5"/>
  <c r="G334" i="5"/>
  <c r="F334" i="5"/>
  <c r="E334" i="5"/>
  <c r="D334" i="5"/>
  <c r="C334" i="5"/>
  <c r="B334" i="5"/>
  <c r="U334" i="5" s="1"/>
  <c r="A334" i="5"/>
  <c r="Q333" i="5"/>
  <c r="P333" i="5"/>
  <c r="O333" i="5"/>
  <c r="N333" i="5"/>
  <c r="M333" i="5"/>
  <c r="L333" i="5"/>
  <c r="K333" i="5"/>
  <c r="J333" i="5"/>
  <c r="W333" i="5" s="1"/>
  <c r="I333" i="5"/>
  <c r="V333" i="5" s="1"/>
  <c r="H333" i="5"/>
  <c r="T333" i="5" s="1"/>
  <c r="G333" i="5"/>
  <c r="F333" i="5"/>
  <c r="R333" i="5" s="1"/>
  <c r="E333" i="5"/>
  <c r="D333" i="5"/>
  <c r="C333" i="5"/>
  <c r="B333" i="5"/>
  <c r="U333" i="5" s="1"/>
  <c r="A333" i="5"/>
  <c r="W332" i="5"/>
  <c r="V332" i="5"/>
  <c r="Q332" i="5"/>
  <c r="P332" i="5"/>
  <c r="O332" i="5"/>
  <c r="N332" i="5"/>
  <c r="M332" i="5"/>
  <c r="L332" i="5"/>
  <c r="K332" i="5"/>
  <c r="J332" i="5"/>
  <c r="I332" i="5"/>
  <c r="H332" i="5"/>
  <c r="T332" i="5" s="1"/>
  <c r="G332" i="5"/>
  <c r="F332" i="5"/>
  <c r="R332" i="5" s="1"/>
  <c r="E332" i="5"/>
  <c r="D332" i="5"/>
  <c r="C332" i="5"/>
  <c r="B332" i="5"/>
  <c r="U332" i="5" s="1"/>
  <c r="A332" i="5"/>
  <c r="V331" i="5"/>
  <c r="T331" i="5"/>
  <c r="R331" i="5"/>
  <c r="Q331" i="5"/>
  <c r="P331" i="5"/>
  <c r="O331" i="5"/>
  <c r="N331" i="5"/>
  <c r="M331" i="5"/>
  <c r="L331" i="5"/>
  <c r="K331" i="5"/>
  <c r="J331" i="5"/>
  <c r="W331" i="5" s="1"/>
  <c r="I331" i="5"/>
  <c r="H331" i="5"/>
  <c r="G331" i="5"/>
  <c r="F331" i="5"/>
  <c r="E331" i="5"/>
  <c r="D331" i="5"/>
  <c r="C331" i="5"/>
  <c r="B331" i="5"/>
  <c r="U331" i="5" s="1"/>
  <c r="A331" i="5"/>
  <c r="Q330" i="5"/>
  <c r="P330" i="5"/>
  <c r="O330" i="5"/>
  <c r="N330" i="5"/>
  <c r="M330" i="5"/>
  <c r="L330" i="5"/>
  <c r="K330" i="5"/>
  <c r="J330" i="5"/>
  <c r="W330" i="5" s="1"/>
  <c r="I330" i="5"/>
  <c r="V330" i="5" s="1"/>
  <c r="H330" i="5"/>
  <c r="T330" i="5" s="1"/>
  <c r="G330" i="5"/>
  <c r="F330" i="5"/>
  <c r="R330" i="5" s="1"/>
  <c r="E330" i="5"/>
  <c r="D330" i="5"/>
  <c r="C330" i="5"/>
  <c r="B330" i="5"/>
  <c r="U330" i="5" s="1"/>
  <c r="A330" i="5"/>
  <c r="V329" i="5"/>
  <c r="R329" i="5"/>
  <c r="Q329" i="5"/>
  <c r="P329" i="5"/>
  <c r="O329" i="5"/>
  <c r="N329" i="5"/>
  <c r="M329" i="5"/>
  <c r="L329" i="5"/>
  <c r="K329" i="5"/>
  <c r="J329" i="5"/>
  <c r="W329" i="5" s="1"/>
  <c r="I329" i="5"/>
  <c r="H329" i="5"/>
  <c r="T329" i="5" s="1"/>
  <c r="G329" i="5"/>
  <c r="F329" i="5"/>
  <c r="E329" i="5"/>
  <c r="D329" i="5"/>
  <c r="C329" i="5"/>
  <c r="B329" i="5"/>
  <c r="U329" i="5" s="1"/>
  <c r="A329" i="5"/>
  <c r="V328" i="5"/>
  <c r="R328" i="5"/>
  <c r="Q328" i="5"/>
  <c r="P328" i="5"/>
  <c r="O328" i="5"/>
  <c r="N328" i="5"/>
  <c r="M328" i="5"/>
  <c r="L328" i="5"/>
  <c r="K328" i="5"/>
  <c r="J328" i="5"/>
  <c r="W328" i="5" s="1"/>
  <c r="I328" i="5"/>
  <c r="H328" i="5"/>
  <c r="T328" i="5" s="1"/>
  <c r="G328" i="5"/>
  <c r="F328" i="5"/>
  <c r="E328" i="5"/>
  <c r="D328" i="5"/>
  <c r="C328" i="5"/>
  <c r="B328" i="5"/>
  <c r="U328" i="5" s="1"/>
  <c r="A328" i="5"/>
  <c r="W327" i="5"/>
  <c r="V327" i="5"/>
  <c r="Q327" i="5"/>
  <c r="P327" i="5"/>
  <c r="O327" i="5"/>
  <c r="N327" i="5"/>
  <c r="M327" i="5"/>
  <c r="L327" i="5"/>
  <c r="K327" i="5"/>
  <c r="J327" i="5"/>
  <c r="I327" i="5"/>
  <c r="H327" i="5"/>
  <c r="T327" i="5" s="1"/>
  <c r="G327" i="5"/>
  <c r="F327" i="5"/>
  <c r="R327" i="5" s="1"/>
  <c r="E327" i="5"/>
  <c r="D327" i="5"/>
  <c r="C327" i="5"/>
  <c r="B327" i="5"/>
  <c r="U327" i="5" s="1"/>
  <c r="A327" i="5"/>
  <c r="V326" i="5"/>
  <c r="T326" i="5"/>
  <c r="Q326" i="5"/>
  <c r="P326" i="5"/>
  <c r="O326" i="5"/>
  <c r="N326" i="5"/>
  <c r="M326" i="5"/>
  <c r="L326" i="5"/>
  <c r="K326" i="5"/>
  <c r="J326" i="5"/>
  <c r="W326" i="5" s="1"/>
  <c r="I326" i="5"/>
  <c r="H326" i="5"/>
  <c r="G326" i="5"/>
  <c r="F326" i="5"/>
  <c r="R326" i="5" s="1"/>
  <c r="E326" i="5"/>
  <c r="D326" i="5"/>
  <c r="C326" i="5"/>
  <c r="B326" i="5"/>
  <c r="U326" i="5" s="1"/>
  <c r="A326" i="5"/>
  <c r="R325" i="5"/>
  <c r="Q325" i="5"/>
  <c r="P325" i="5"/>
  <c r="O325" i="5"/>
  <c r="N325" i="5"/>
  <c r="M325" i="5"/>
  <c r="L325" i="5"/>
  <c r="K325" i="5"/>
  <c r="J325" i="5"/>
  <c r="W325" i="5" s="1"/>
  <c r="I325" i="5"/>
  <c r="V325" i="5" s="1"/>
  <c r="H325" i="5"/>
  <c r="T325" i="5" s="1"/>
  <c r="G325" i="5"/>
  <c r="F325" i="5"/>
  <c r="E325" i="5"/>
  <c r="D325" i="5"/>
  <c r="C325" i="5"/>
  <c r="B325" i="5"/>
  <c r="U325" i="5" s="1"/>
  <c r="A325" i="5"/>
  <c r="W324" i="5"/>
  <c r="V324" i="5"/>
  <c r="Q324" i="5"/>
  <c r="P324" i="5"/>
  <c r="O324" i="5"/>
  <c r="N324" i="5"/>
  <c r="M324" i="5"/>
  <c r="L324" i="5"/>
  <c r="K324" i="5"/>
  <c r="J324" i="5"/>
  <c r="I324" i="5"/>
  <c r="H324" i="5"/>
  <c r="T324" i="5" s="1"/>
  <c r="G324" i="5"/>
  <c r="S324" i="5" s="1"/>
  <c r="F324" i="5"/>
  <c r="R324" i="5" s="1"/>
  <c r="E324" i="5"/>
  <c r="D324" i="5"/>
  <c r="C324" i="5"/>
  <c r="B324" i="5"/>
  <c r="U324" i="5" s="1"/>
  <c r="A324" i="5"/>
  <c r="V323" i="5"/>
  <c r="T323" i="5"/>
  <c r="R323" i="5"/>
  <c r="Q323" i="5"/>
  <c r="P323" i="5"/>
  <c r="O323" i="5"/>
  <c r="N323" i="5"/>
  <c r="M323" i="5"/>
  <c r="L323" i="5"/>
  <c r="K323" i="5"/>
  <c r="J323" i="5"/>
  <c r="W323" i="5" s="1"/>
  <c r="I323" i="5"/>
  <c r="H323" i="5"/>
  <c r="G323" i="5"/>
  <c r="F323" i="5"/>
  <c r="E323" i="5"/>
  <c r="D323" i="5"/>
  <c r="C323" i="5"/>
  <c r="B323" i="5"/>
  <c r="U323" i="5" s="1"/>
  <c r="A323" i="5"/>
  <c r="R322" i="5"/>
  <c r="Q322" i="5"/>
  <c r="P322" i="5"/>
  <c r="O322" i="5"/>
  <c r="N322" i="5"/>
  <c r="M322" i="5"/>
  <c r="L322" i="5"/>
  <c r="K322" i="5"/>
  <c r="J322" i="5"/>
  <c r="W322" i="5" s="1"/>
  <c r="I322" i="5"/>
  <c r="V322" i="5" s="1"/>
  <c r="H322" i="5"/>
  <c r="T322" i="5" s="1"/>
  <c r="G322" i="5"/>
  <c r="F322" i="5"/>
  <c r="E322" i="5"/>
  <c r="D322" i="5"/>
  <c r="C322" i="5"/>
  <c r="B322" i="5"/>
  <c r="U322" i="5" s="1"/>
  <c r="A322" i="5"/>
  <c r="V321" i="5"/>
  <c r="R321" i="5"/>
  <c r="Q321" i="5"/>
  <c r="P321" i="5"/>
  <c r="O321" i="5"/>
  <c r="N321" i="5"/>
  <c r="M321" i="5"/>
  <c r="L321" i="5"/>
  <c r="K321" i="5"/>
  <c r="J321" i="5"/>
  <c r="W321" i="5" s="1"/>
  <c r="I321" i="5"/>
  <c r="H321" i="5"/>
  <c r="T321" i="5" s="1"/>
  <c r="G321" i="5"/>
  <c r="F321" i="5"/>
  <c r="E321" i="5"/>
  <c r="D321" i="5"/>
  <c r="C321" i="5"/>
  <c r="B321" i="5"/>
  <c r="U321" i="5" s="1"/>
  <c r="A321" i="5"/>
  <c r="V320" i="5"/>
  <c r="R320" i="5"/>
  <c r="Q320" i="5"/>
  <c r="P320" i="5"/>
  <c r="O320" i="5"/>
  <c r="N320" i="5"/>
  <c r="M320" i="5"/>
  <c r="L320" i="5"/>
  <c r="K320" i="5"/>
  <c r="J320" i="5"/>
  <c r="W320" i="5" s="1"/>
  <c r="I320" i="5"/>
  <c r="H320" i="5"/>
  <c r="T320" i="5" s="1"/>
  <c r="G320" i="5"/>
  <c r="F320" i="5"/>
  <c r="E320" i="5"/>
  <c r="D320" i="5"/>
  <c r="C320" i="5"/>
  <c r="B320" i="5"/>
  <c r="U320" i="5" s="1"/>
  <c r="A320" i="5"/>
  <c r="W319" i="5"/>
  <c r="V319" i="5"/>
  <c r="T319" i="5"/>
  <c r="M319" i="5"/>
  <c r="L319" i="5"/>
  <c r="K319" i="5"/>
  <c r="J319" i="5"/>
  <c r="I319" i="5"/>
  <c r="H319" i="5"/>
  <c r="G319" i="5"/>
  <c r="F319" i="5"/>
  <c r="R319" i="5" s="1"/>
  <c r="E319" i="5"/>
  <c r="D319" i="5"/>
  <c r="C319" i="5"/>
  <c r="B319" i="5"/>
  <c r="U319" i="5" s="1"/>
  <c r="A319" i="5"/>
  <c r="V318" i="5"/>
  <c r="U318" i="5"/>
  <c r="R318" i="5"/>
  <c r="S318" i="5" s="1"/>
  <c r="M318" i="5"/>
  <c r="L318" i="5"/>
  <c r="K318" i="5"/>
  <c r="J318" i="5"/>
  <c r="W318" i="5" s="1"/>
  <c r="I318" i="5"/>
  <c r="H318" i="5"/>
  <c r="T318" i="5" s="1"/>
  <c r="G318" i="5"/>
  <c r="F318" i="5"/>
  <c r="E318" i="5"/>
  <c r="D318" i="5"/>
  <c r="C318" i="5"/>
  <c r="B318" i="5"/>
  <c r="A318" i="5"/>
  <c r="V317" i="5"/>
  <c r="P317" i="5"/>
  <c r="N317" i="5"/>
  <c r="M317" i="5"/>
  <c r="L317" i="5"/>
  <c r="K317" i="5"/>
  <c r="J317" i="5"/>
  <c r="W317" i="5" s="1"/>
  <c r="I317" i="5"/>
  <c r="H317" i="5"/>
  <c r="T317" i="5" s="1"/>
  <c r="G317" i="5"/>
  <c r="F317" i="5"/>
  <c r="R317" i="5" s="1"/>
  <c r="S317" i="5" s="1"/>
  <c r="E317" i="5"/>
  <c r="D317" i="5"/>
  <c r="C317" i="5"/>
  <c r="B317" i="5"/>
  <c r="U317" i="5" s="1"/>
  <c r="A317" i="5"/>
  <c r="V316" i="5"/>
  <c r="U316" i="5"/>
  <c r="T316" i="5"/>
  <c r="M316" i="5"/>
  <c r="L316" i="5"/>
  <c r="K316" i="5"/>
  <c r="J316" i="5"/>
  <c r="W316" i="5" s="1"/>
  <c r="I316" i="5"/>
  <c r="H316" i="5"/>
  <c r="G316" i="5"/>
  <c r="F316" i="5"/>
  <c r="R316" i="5" s="1"/>
  <c r="S316" i="5" s="1"/>
  <c r="E316" i="5"/>
  <c r="D316" i="5"/>
  <c r="C316" i="5"/>
  <c r="B316" i="5"/>
  <c r="A316" i="5"/>
  <c r="V315" i="5"/>
  <c r="U315" i="5"/>
  <c r="R315" i="5"/>
  <c r="S315" i="5" s="1"/>
  <c r="M315" i="5"/>
  <c r="L315" i="5"/>
  <c r="K315" i="5"/>
  <c r="J315" i="5"/>
  <c r="W315" i="5" s="1"/>
  <c r="I315" i="5"/>
  <c r="H315" i="5"/>
  <c r="T315" i="5" s="1"/>
  <c r="G315" i="5"/>
  <c r="F315" i="5"/>
  <c r="E315" i="5"/>
  <c r="D315" i="5"/>
  <c r="C315" i="5"/>
  <c r="B315" i="5"/>
  <c r="A315" i="5"/>
  <c r="V314" i="5"/>
  <c r="R314" i="5"/>
  <c r="S314" i="5" s="1"/>
  <c r="P314" i="5"/>
  <c r="N314" i="5"/>
  <c r="M314" i="5"/>
  <c r="L314" i="5"/>
  <c r="K314" i="5"/>
  <c r="J314" i="5"/>
  <c r="W314" i="5" s="1"/>
  <c r="I314" i="5"/>
  <c r="H314" i="5"/>
  <c r="T314" i="5" s="1"/>
  <c r="G314" i="5"/>
  <c r="F314" i="5"/>
  <c r="E314" i="5"/>
  <c r="D314" i="5"/>
  <c r="C314" i="5"/>
  <c r="B314" i="5"/>
  <c r="U314" i="5" s="1"/>
  <c r="A314" i="5"/>
  <c r="V313" i="5"/>
  <c r="T313" i="5"/>
  <c r="M313" i="5"/>
  <c r="L313" i="5"/>
  <c r="K313" i="5"/>
  <c r="J313" i="5"/>
  <c r="W313" i="5" s="1"/>
  <c r="I313" i="5"/>
  <c r="H313" i="5"/>
  <c r="G313" i="5"/>
  <c r="F313" i="5"/>
  <c r="R313" i="5" s="1"/>
  <c r="S313" i="5" s="1"/>
  <c r="E313" i="5"/>
  <c r="D313" i="5"/>
  <c r="C313" i="5"/>
  <c r="B313" i="5"/>
  <c r="U313" i="5" s="1"/>
  <c r="A313" i="5"/>
  <c r="V312" i="5"/>
  <c r="T312" i="5"/>
  <c r="P312" i="5"/>
  <c r="N312" i="5"/>
  <c r="M312" i="5"/>
  <c r="L312" i="5"/>
  <c r="K312" i="5"/>
  <c r="J312" i="5"/>
  <c r="W312" i="5" s="1"/>
  <c r="I312" i="5"/>
  <c r="H312" i="5"/>
  <c r="G312" i="5"/>
  <c r="F312" i="5"/>
  <c r="R312" i="5" s="1"/>
  <c r="S312" i="5" s="1"/>
  <c r="E312" i="5"/>
  <c r="D312" i="5"/>
  <c r="C312" i="5"/>
  <c r="B312" i="5"/>
  <c r="U312" i="5" s="1"/>
  <c r="A312" i="5"/>
  <c r="V311" i="5"/>
  <c r="U311" i="5"/>
  <c r="M311" i="5"/>
  <c r="L311" i="5"/>
  <c r="K311" i="5"/>
  <c r="J311" i="5"/>
  <c r="W311" i="5" s="1"/>
  <c r="I311" i="5"/>
  <c r="H311" i="5"/>
  <c r="T311" i="5" s="1"/>
  <c r="G311" i="5"/>
  <c r="F311" i="5"/>
  <c r="R311" i="5" s="1"/>
  <c r="S311" i="5" s="1"/>
  <c r="E311" i="5"/>
  <c r="D311" i="5"/>
  <c r="C311" i="5"/>
  <c r="B311" i="5"/>
  <c r="A311" i="5"/>
  <c r="V310" i="5"/>
  <c r="U310" i="5"/>
  <c r="R310" i="5"/>
  <c r="S310" i="5" s="1"/>
  <c r="M310" i="5"/>
  <c r="L310" i="5"/>
  <c r="K310" i="5"/>
  <c r="J310" i="5"/>
  <c r="W310" i="5" s="1"/>
  <c r="I310" i="5"/>
  <c r="H310" i="5"/>
  <c r="T310" i="5" s="1"/>
  <c r="G310" i="5"/>
  <c r="F310" i="5"/>
  <c r="E310" i="5"/>
  <c r="D310" i="5"/>
  <c r="C310" i="5"/>
  <c r="B310" i="5"/>
  <c r="A310" i="5"/>
  <c r="V309" i="5"/>
  <c r="R309" i="5"/>
  <c r="S309" i="5" s="1"/>
  <c r="P309" i="5"/>
  <c r="N309" i="5"/>
  <c r="M309" i="5"/>
  <c r="L309" i="5"/>
  <c r="K309" i="5"/>
  <c r="J309" i="5"/>
  <c r="W309" i="5" s="1"/>
  <c r="I309" i="5"/>
  <c r="H309" i="5"/>
  <c r="T309" i="5" s="1"/>
  <c r="G309" i="5"/>
  <c r="F309" i="5"/>
  <c r="E309" i="5"/>
  <c r="D309" i="5"/>
  <c r="C309" i="5"/>
  <c r="B309" i="5"/>
  <c r="U309" i="5" s="1"/>
  <c r="A309" i="5"/>
  <c r="V308" i="5"/>
  <c r="T308" i="5"/>
  <c r="M308" i="5"/>
  <c r="L308" i="5"/>
  <c r="K308" i="5"/>
  <c r="J308" i="5"/>
  <c r="W308" i="5" s="1"/>
  <c r="I308" i="5"/>
  <c r="H308" i="5"/>
  <c r="G308" i="5"/>
  <c r="F308" i="5"/>
  <c r="R308" i="5" s="1"/>
  <c r="S308" i="5" s="1"/>
  <c r="E308" i="5"/>
  <c r="D308" i="5"/>
  <c r="C308" i="5"/>
  <c r="B308" i="5"/>
  <c r="U308" i="5" s="1"/>
  <c r="A308" i="5"/>
  <c r="V307" i="5"/>
  <c r="U307" i="5"/>
  <c r="R307" i="5"/>
  <c r="S307" i="5" s="1"/>
  <c r="M307" i="5"/>
  <c r="L307" i="5"/>
  <c r="K307" i="5"/>
  <c r="J307" i="5"/>
  <c r="W307" i="5" s="1"/>
  <c r="I307" i="5"/>
  <c r="H307" i="5"/>
  <c r="T307" i="5" s="1"/>
  <c r="G307" i="5"/>
  <c r="F307" i="5"/>
  <c r="E307" i="5"/>
  <c r="D307" i="5"/>
  <c r="C307" i="5"/>
  <c r="B307" i="5"/>
  <c r="A307" i="5"/>
  <c r="V306" i="5"/>
  <c r="R306" i="5"/>
  <c r="S306" i="5" s="1"/>
  <c r="P306" i="5"/>
  <c r="N306" i="5"/>
  <c r="M306" i="5"/>
  <c r="L306" i="5"/>
  <c r="K306" i="5"/>
  <c r="J306" i="5"/>
  <c r="W306" i="5" s="1"/>
  <c r="I306" i="5"/>
  <c r="H306" i="5"/>
  <c r="T306" i="5" s="1"/>
  <c r="G306" i="5"/>
  <c r="F306" i="5"/>
  <c r="E306" i="5"/>
  <c r="D306" i="5"/>
  <c r="C306" i="5"/>
  <c r="B306" i="5"/>
  <c r="U306" i="5" s="1"/>
  <c r="A306" i="5"/>
  <c r="V305" i="5"/>
  <c r="T305" i="5"/>
  <c r="M305" i="5"/>
  <c r="L305" i="5"/>
  <c r="K305" i="5"/>
  <c r="J305" i="5"/>
  <c r="W305" i="5" s="1"/>
  <c r="I305" i="5"/>
  <c r="H305" i="5"/>
  <c r="G305" i="5"/>
  <c r="F305" i="5"/>
  <c r="R305" i="5" s="1"/>
  <c r="S305" i="5" s="1"/>
  <c r="E305" i="5"/>
  <c r="D305" i="5"/>
  <c r="C305" i="5"/>
  <c r="B305" i="5"/>
  <c r="U305" i="5" s="1"/>
  <c r="A305" i="5"/>
  <c r="V304" i="5"/>
  <c r="T304" i="5"/>
  <c r="P304" i="5"/>
  <c r="N304" i="5"/>
  <c r="M304" i="5"/>
  <c r="L304" i="5"/>
  <c r="K304" i="5"/>
  <c r="J304" i="5"/>
  <c r="W304" i="5" s="1"/>
  <c r="I304" i="5"/>
  <c r="H304" i="5"/>
  <c r="G304" i="5"/>
  <c r="F304" i="5"/>
  <c r="R304" i="5" s="1"/>
  <c r="S304" i="5" s="1"/>
  <c r="E304" i="5"/>
  <c r="D304" i="5"/>
  <c r="C304" i="5"/>
  <c r="B304" i="5"/>
  <c r="U304" i="5" s="1"/>
  <c r="A304" i="5"/>
  <c r="V303" i="5"/>
  <c r="U303" i="5"/>
  <c r="P303" i="5"/>
  <c r="M303" i="5"/>
  <c r="L303" i="5"/>
  <c r="K303" i="5"/>
  <c r="J303" i="5"/>
  <c r="W303" i="5" s="1"/>
  <c r="I303" i="5"/>
  <c r="H303" i="5"/>
  <c r="T303" i="5" s="1"/>
  <c r="G303" i="5"/>
  <c r="F303" i="5"/>
  <c r="R303" i="5" s="1"/>
  <c r="S303" i="5" s="1"/>
  <c r="E303" i="5"/>
  <c r="D303" i="5"/>
  <c r="C303" i="5"/>
  <c r="B303" i="5"/>
  <c r="A303" i="5"/>
  <c r="V302" i="5"/>
  <c r="U302" i="5"/>
  <c r="R302" i="5"/>
  <c r="S302" i="5" s="1"/>
  <c r="M302" i="5"/>
  <c r="L302" i="5"/>
  <c r="K302" i="5"/>
  <c r="J302" i="5"/>
  <c r="W302" i="5" s="1"/>
  <c r="I302" i="5"/>
  <c r="H302" i="5"/>
  <c r="T302" i="5" s="1"/>
  <c r="G302" i="5"/>
  <c r="F302" i="5"/>
  <c r="E302" i="5"/>
  <c r="D302" i="5"/>
  <c r="C302" i="5"/>
  <c r="B302" i="5"/>
  <c r="A302" i="5"/>
  <c r="V301" i="5"/>
  <c r="S301" i="5"/>
  <c r="R301" i="5"/>
  <c r="P301" i="5"/>
  <c r="N301" i="5"/>
  <c r="M301" i="5"/>
  <c r="L301" i="5"/>
  <c r="K301" i="5"/>
  <c r="J301" i="5"/>
  <c r="W301" i="5" s="1"/>
  <c r="I301" i="5"/>
  <c r="H301" i="5"/>
  <c r="T301" i="5" s="1"/>
  <c r="G301" i="5"/>
  <c r="F301" i="5"/>
  <c r="E301" i="5"/>
  <c r="D301" i="5"/>
  <c r="C301" i="5"/>
  <c r="B301" i="5"/>
  <c r="U301" i="5" s="1"/>
  <c r="A301" i="5"/>
  <c r="V300" i="5"/>
  <c r="U300" i="5"/>
  <c r="Q300" i="5"/>
  <c r="P300" i="5"/>
  <c r="O300" i="5"/>
  <c r="N300" i="5"/>
  <c r="M300" i="5"/>
  <c r="L300" i="5"/>
  <c r="K300" i="5"/>
  <c r="J300" i="5"/>
  <c r="W300" i="5" s="1"/>
  <c r="I300" i="5"/>
  <c r="H300" i="5"/>
  <c r="T300" i="5" s="1"/>
  <c r="G300" i="5"/>
  <c r="F300" i="5"/>
  <c r="R300" i="5" s="1"/>
  <c r="E300" i="5"/>
  <c r="D300" i="5"/>
  <c r="C300" i="5"/>
  <c r="B300" i="5"/>
  <c r="A300" i="5"/>
  <c r="W299" i="5"/>
  <c r="V299" i="5"/>
  <c r="U299" i="5"/>
  <c r="Q299" i="5"/>
  <c r="P299" i="5"/>
  <c r="O299" i="5"/>
  <c r="N299" i="5"/>
  <c r="M299" i="5"/>
  <c r="L299" i="5"/>
  <c r="K299" i="5"/>
  <c r="J299" i="5"/>
  <c r="I299" i="5"/>
  <c r="H299" i="5"/>
  <c r="T299" i="5" s="1"/>
  <c r="G299" i="5"/>
  <c r="F299" i="5"/>
  <c r="R299" i="5" s="1"/>
  <c r="E299" i="5"/>
  <c r="D299" i="5"/>
  <c r="C299" i="5"/>
  <c r="B299" i="5"/>
  <c r="A299" i="5"/>
  <c r="W298" i="5"/>
  <c r="V298" i="5"/>
  <c r="U298" i="5"/>
  <c r="T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R298" i="5" s="1"/>
  <c r="E298" i="5"/>
  <c r="D298" i="5"/>
  <c r="C298" i="5"/>
  <c r="B298" i="5"/>
  <c r="A298" i="5"/>
  <c r="W297" i="5"/>
  <c r="V297" i="5"/>
  <c r="U297" i="5"/>
  <c r="T297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R297" i="5" s="1"/>
  <c r="E297" i="5"/>
  <c r="D297" i="5"/>
  <c r="C297" i="5"/>
  <c r="B297" i="5"/>
  <c r="A297" i="5"/>
  <c r="W296" i="5"/>
  <c r="V296" i="5"/>
  <c r="U296" i="5"/>
  <c r="Q296" i="5"/>
  <c r="P296" i="5"/>
  <c r="O296" i="5"/>
  <c r="N296" i="5"/>
  <c r="M296" i="5"/>
  <c r="L296" i="5"/>
  <c r="K296" i="5"/>
  <c r="J296" i="5"/>
  <c r="I296" i="5"/>
  <c r="H296" i="5"/>
  <c r="T296" i="5" s="1"/>
  <c r="G296" i="5"/>
  <c r="F296" i="5"/>
  <c r="R296" i="5" s="1"/>
  <c r="E296" i="5"/>
  <c r="D296" i="5"/>
  <c r="C296" i="5"/>
  <c r="B296" i="5"/>
  <c r="A296" i="5"/>
  <c r="W295" i="5"/>
  <c r="V295" i="5"/>
  <c r="U295" i="5"/>
  <c r="Q295" i="5"/>
  <c r="P295" i="5"/>
  <c r="O295" i="5"/>
  <c r="N295" i="5"/>
  <c r="M295" i="5"/>
  <c r="L295" i="5"/>
  <c r="K295" i="5"/>
  <c r="J295" i="5"/>
  <c r="I295" i="5"/>
  <c r="H295" i="5"/>
  <c r="T295" i="5" s="1"/>
  <c r="G295" i="5"/>
  <c r="F295" i="5"/>
  <c r="R295" i="5" s="1"/>
  <c r="E295" i="5"/>
  <c r="D295" i="5"/>
  <c r="C295" i="5"/>
  <c r="B295" i="5"/>
  <c r="A295" i="5"/>
  <c r="W294" i="5"/>
  <c r="V294" i="5"/>
  <c r="U294" i="5"/>
  <c r="T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R294" i="5" s="1"/>
  <c r="E294" i="5"/>
  <c r="D294" i="5"/>
  <c r="C294" i="5"/>
  <c r="B294" i="5"/>
  <c r="A294" i="5"/>
  <c r="W293" i="5"/>
  <c r="V293" i="5"/>
  <c r="U293" i="5"/>
  <c r="T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R293" i="5" s="1"/>
  <c r="E293" i="5"/>
  <c r="D293" i="5"/>
  <c r="C293" i="5"/>
  <c r="B293" i="5"/>
  <c r="A293" i="5"/>
  <c r="W292" i="5"/>
  <c r="V292" i="5"/>
  <c r="U292" i="5"/>
  <c r="Q292" i="5"/>
  <c r="P292" i="5"/>
  <c r="O292" i="5"/>
  <c r="N292" i="5"/>
  <c r="M292" i="5"/>
  <c r="L292" i="5"/>
  <c r="K292" i="5"/>
  <c r="J292" i="5"/>
  <c r="I292" i="5"/>
  <c r="H292" i="5"/>
  <c r="T292" i="5" s="1"/>
  <c r="G292" i="5"/>
  <c r="F292" i="5"/>
  <c r="R292" i="5" s="1"/>
  <c r="E292" i="5"/>
  <c r="D292" i="5"/>
  <c r="C292" i="5"/>
  <c r="B292" i="5"/>
  <c r="A292" i="5"/>
  <c r="W291" i="5"/>
  <c r="V291" i="5"/>
  <c r="U291" i="5"/>
  <c r="Q291" i="5"/>
  <c r="P291" i="5"/>
  <c r="O291" i="5"/>
  <c r="N291" i="5"/>
  <c r="M291" i="5"/>
  <c r="L291" i="5"/>
  <c r="K291" i="5"/>
  <c r="J291" i="5"/>
  <c r="I291" i="5"/>
  <c r="H291" i="5"/>
  <c r="T291" i="5" s="1"/>
  <c r="G291" i="5"/>
  <c r="F291" i="5"/>
  <c r="R291" i="5" s="1"/>
  <c r="E291" i="5"/>
  <c r="D291" i="5"/>
  <c r="C291" i="5"/>
  <c r="B291" i="5"/>
  <c r="A291" i="5"/>
  <c r="W290" i="5"/>
  <c r="V290" i="5"/>
  <c r="U290" i="5"/>
  <c r="T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R290" i="5" s="1"/>
  <c r="E290" i="5"/>
  <c r="D290" i="5"/>
  <c r="C290" i="5"/>
  <c r="B290" i="5"/>
  <c r="A290" i="5"/>
  <c r="W289" i="5"/>
  <c r="V289" i="5"/>
  <c r="U289" i="5"/>
  <c r="T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R289" i="5" s="1"/>
  <c r="E289" i="5"/>
  <c r="D289" i="5"/>
  <c r="C289" i="5"/>
  <c r="B289" i="5"/>
  <c r="A289" i="5"/>
  <c r="W288" i="5"/>
  <c r="V288" i="5"/>
  <c r="U288" i="5"/>
  <c r="Q288" i="5"/>
  <c r="P288" i="5"/>
  <c r="O288" i="5"/>
  <c r="N288" i="5"/>
  <c r="M288" i="5"/>
  <c r="L288" i="5"/>
  <c r="K288" i="5"/>
  <c r="J288" i="5"/>
  <c r="I288" i="5"/>
  <c r="H288" i="5"/>
  <c r="T288" i="5" s="1"/>
  <c r="G288" i="5"/>
  <c r="F288" i="5"/>
  <c r="R288" i="5" s="1"/>
  <c r="E288" i="5"/>
  <c r="D288" i="5"/>
  <c r="C288" i="5"/>
  <c r="B288" i="5"/>
  <c r="A288" i="5"/>
  <c r="W287" i="5"/>
  <c r="V287" i="5"/>
  <c r="U287" i="5"/>
  <c r="T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R287" i="5" s="1"/>
  <c r="E287" i="5"/>
  <c r="D287" i="5"/>
  <c r="C287" i="5"/>
  <c r="B287" i="5"/>
  <c r="A287" i="5"/>
  <c r="W286" i="5"/>
  <c r="V286" i="5"/>
  <c r="U286" i="5"/>
  <c r="Q286" i="5"/>
  <c r="P286" i="5"/>
  <c r="O286" i="5"/>
  <c r="N286" i="5"/>
  <c r="M286" i="5"/>
  <c r="L286" i="5"/>
  <c r="K286" i="5"/>
  <c r="J286" i="5"/>
  <c r="I286" i="5"/>
  <c r="H286" i="5"/>
  <c r="T286" i="5" s="1"/>
  <c r="G286" i="5"/>
  <c r="F286" i="5"/>
  <c r="R286" i="5" s="1"/>
  <c r="E286" i="5"/>
  <c r="D286" i="5"/>
  <c r="C286" i="5"/>
  <c r="B286" i="5"/>
  <c r="A286" i="5"/>
  <c r="W285" i="5"/>
  <c r="V285" i="5"/>
  <c r="U285" i="5"/>
  <c r="T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R285" i="5" s="1"/>
  <c r="E285" i="5"/>
  <c r="D285" i="5"/>
  <c r="C285" i="5"/>
  <c r="B285" i="5"/>
  <c r="A285" i="5"/>
  <c r="W284" i="5"/>
  <c r="V284" i="5"/>
  <c r="U284" i="5"/>
  <c r="Q284" i="5"/>
  <c r="P284" i="5"/>
  <c r="O284" i="5"/>
  <c r="N284" i="5"/>
  <c r="M284" i="5"/>
  <c r="L284" i="5"/>
  <c r="K284" i="5"/>
  <c r="J284" i="5"/>
  <c r="I284" i="5"/>
  <c r="H284" i="5"/>
  <c r="T284" i="5" s="1"/>
  <c r="G284" i="5"/>
  <c r="F284" i="5"/>
  <c r="R284" i="5" s="1"/>
  <c r="E284" i="5"/>
  <c r="D284" i="5"/>
  <c r="C284" i="5"/>
  <c r="B284" i="5"/>
  <c r="A284" i="5"/>
  <c r="W283" i="5"/>
  <c r="V283" i="5"/>
  <c r="U283" i="5"/>
  <c r="T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R283" i="5" s="1"/>
  <c r="E283" i="5"/>
  <c r="D283" i="5"/>
  <c r="C283" i="5"/>
  <c r="B283" i="5"/>
  <c r="A283" i="5"/>
  <c r="W282" i="5"/>
  <c r="V282" i="5"/>
  <c r="U282" i="5"/>
  <c r="Q282" i="5"/>
  <c r="P282" i="5"/>
  <c r="O282" i="5"/>
  <c r="N282" i="5"/>
  <c r="M282" i="5"/>
  <c r="L282" i="5"/>
  <c r="K282" i="5"/>
  <c r="J282" i="5"/>
  <c r="I282" i="5"/>
  <c r="H282" i="5"/>
  <c r="T282" i="5" s="1"/>
  <c r="G282" i="5"/>
  <c r="F282" i="5"/>
  <c r="R282" i="5" s="1"/>
  <c r="E282" i="5"/>
  <c r="D282" i="5"/>
  <c r="C282" i="5"/>
  <c r="B282" i="5"/>
  <c r="A282" i="5"/>
  <c r="W281" i="5"/>
  <c r="V281" i="5"/>
  <c r="U281" i="5"/>
  <c r="T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R281" i="5" s="1"/>
  <c r="E281" i="5"/>
  <c r="D281" i="5"/>
  <c r="C281" i="5"/>
  <c r="B281" i="5"/>
  <c r="A281" i="5"/>
  <c r="W280" i="5"/>
  <c r="V280" i="5"/>
  <c r="U280" i="5"/>
  <c r="Q280" i="5"/>
  <c r="P280" i="5"/>
  <c r="O280" i="5"/>
  <c r="N280" i="5"/>
  <c r="M280" i="5"/>
  <c r="L280" i="5"/>
  <c r="K280" i="5"/>
  <c r="J280" i="5"/>
  <c r="I280" i="5"/>
  <c r="H280" i="5"/>
  <c r="T280" i="5" s="1"/>
  <c r="G280" i="5"/>
  <c r="F280" i="5"/>
  <c r="R280" i="5" s="1"/>
  <c r="E280" i="5"/>
  <c r="D280" i="5"/>
  <c r="C280" i="5"/>
  <c r="B280" i="5"/>
  <c r="A280" i="5"/>
  <c r="W279" i="5"/>
  <c r="V279" i="5"/>
  <c r="U279" i="5"/>
  <c r="T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R279" i="5" s="1"/>
  <c r="E279" i="5"/>
  <c r="D279" i="5"/>
  <c r="C279" i="5"/>
  <c r="B279" i="5"/>
  <c r="A279" i="5"/>
  <c r="W278" i="5"/>
  <c r="V278" i="5"/>
  <c r="U278" i="5"/>
  <c r="Q278" i="5"/>
  <c r="P278" i="5"/>
  <c r="O278" i="5"/>
  <c r="N278" i="5"/>
  <c r="M278" i="5"/>
  <c r="L278" i="5"/>
  <c r="K278" i="5"/>
  <c r="J278" i="5"/>
  <c r="I278" i="5"/>
  <c r="H278" i="5"/>
  <c r="T278" i="5" s="1"/>
  <c r="G278" i="5"/>
  <c r="F278" i="5"/>
  <c r="R278" i="5" s="1"/>
  <c r="E278" i="5"/>
  <c r="D278" i="5"/>
  <c r="C278" i="5"/>
  <c r="B278" i="5"/>
  <c r="A278" i="5"/>
  <c r="W277" i="5"/>
  <c r="V277" i="5"/>
  <c r="U277" i="5"/>
  <c r="T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R277" i="5" s="1"/>
  <c r="E277" i="5"/>
  <c r="D277" i="5"/>
  <c r="C277" i="5"/>
  <c r="B277" i="5"/>
  <c r="A277" i="5"/>
  <c r="W276" i="5"/>
  <c r="V276" i="5"/>
  <c r="U276" i="5"/>
  <c r="Q276" i="5"/>
  <c r="P276" i="5"/>
  <c r="O276" i="5"/>
  <c r="N276" i="5"/>
  <c r="M276" i="5"/>
  <c r="L276" i="5"/>
  <c r="K276" i="5"/>
  <c r="J276" i="5"/>
  <c r="I276" i="5"/>
  <c r="H276" i="5"/>
  <c r="T276" i="5" s="1"/>
  <c r="G276" i="5"/>
  <c r="F276" i="5"/>
  <c r="R276" i="5" s="1"/>
  <c r="E276" i="5"/>
  <c r="D276" i="5"/>
  <c r="C276" i="5"/>
  <c r="B276" i="5"/>
  <c r="A276" i="5"/>
  <c r="W275" i="5"/>
  <c r="V275" i="5"/>
  <c r="U275" i="5"/>
  <c r="T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R275" i="5" s="1"/>
  <c r="E275" i="5"/>
  <c r="D275" i="5"/>
  <c r="C275" i="5"/>
  <c r="B275" i="5"/>
  <c r="A275" i="5"/>
  <c r="W274" i="5"/>
  <c r="V274" i="5"/>
  <c r="U274" i="5"/>
  <c r="Q274" i="5"/>
  <c r="P274" i="5"/>
  <c r="O274" i="5"/>
  <c r="N274" i="5"/>
  <c r="M274" i="5"/>
  <c r="L274" i="5"/>
  <c r="K274" i="5"/>
  <c r="J274" i="5"/>
  <c r="I274" i="5"/>
  <c r="H274" i="5"/>
  <c r="T274" i="5" s="1"/>
  <c r="G274" i="5"/>
  <c r="F274" i="5"/>
  <c r="R274" i="5" s="1"/>
  <c r="E274" i="5"/>
  <c r="D274" i="5"/>
  <c r="C274" i="5"/>
  <c r="B274" i="5"/>
  <c r="A274" i="5"/>
  <c r="W273" i="5"/>
  <c r="V273" i="5"/>
  <c r="U273" i="5"/>
  <c r="T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R273" i="5" s="1"/>
  <c r="E273" i="5"/>
  <c r="D273" i="5"/>
  <c r="C273" i="5"/>
  <c r="B273" i="5"/>
  <c r="A273" i="5"/>
  <c r="W272" i="5"/>
  <c r="V272" i="5"/>
  <c r="U272" i="5"/>
  <c r="Q272" i="5"/>
  <c r="P272" i="5"/>
  <c r="O272" i="5"/>
  <c r="N272" i="5"/>
  <c r="M272" i="5"/>
  <c r="L272" i="5"/>
  <c r="K272" i="5"/>
  <c r="J272" i="5"/>
  <c r="I272" i="5"/>
  <c r="H272" i="5"/>
  <c r="T272" i="5" s="1"/>
  <c r="G272" i="5"/>
  <c r="F272" i="5"/>
  <c r="R272" i="5" s="1"/>
  <c r="E272" i="5"/>
  <c r="D272" i="5"/>
  <c r="C272" i="5"/>
  <c r="B272" i="5"/>
  <c r="A272" i="5"/>
  <c r="W271" i="5"/>
  <c r="V271" i="5"/>
  <c r="U271" i="5"/>
  <c r="T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R271" i="5" s="1"/>
  <c r="E271" i="5"/>
  <c r="D271" i="5"/>
  <c r="C271" i="5"/>
  <c r="B271" i="5"/>
  <c r="A271" i="5"/>
  <c r="W270" i="5"/>
  <c r="V270" i="5"/>
  <c r="U270" i="5"/>
  <c r="Q270" i="5"/>
  <c r="P270" i="5"/>
  <c r="O270" i="5"/>
  <c r="N270" i="5"/>
  <c r="M270" i="5"/>
  <c r="L270" i="5"/>
  <c r="K270" i="5"/>
  <c r="J270" i="5"/>
  <c r="I270" i="5"/>
  <c r="H270" i="5"/>
  <c r="T270" i="5" s="1"/>
  <c r="G270" i="5"/>
  <c r="F270" i="5"/>
  <c r="R270" i="5" s="1"/>
  <c r="E270" i="5"/>
  <c r="D270" i="5"/>
  <c r="C270" i="5"/>
  <c r="B270" i="5"/>
  <c r="A270" i="5"/>
  <c r="W269" i="5"/>
  <c r="V269" i="5"/>
  <c r="U269" i="5"/>
  <c r="T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R269" i="5" s="1"/>
  <c r="E269" i="5"/>
  <c r="D269" i="5"/>
  <c r="C269" i="5"/>
  <c r="B269" i="5"/>
  <c r="A269" i="5"/>
  <c r="W268" i="5"/>
  <c r="V268" i="5"/>
  <c r="U268" i="5"/>
  <c r="Q268" i="5"/>
  <c r="P268" i="5"/>
  <c r="O268" i="5"/>
  <c r="N268" i="5"/>
  <c r="M268" i="5"/>
  <c r="L268" i="5"/>
  <c r="K268" i="5"/>
  <c r="J268" i="5"/>
  <c r="I268" i="5"/>
  <c r="H268" i="5"/>
  <c r="T268" i="5" s="1"/>
  <c r="G268" i="5"/>
  <c r="F268" i="5"/>
  <c r="R268" i="5" s="1"/>
  <c r="E268" i="5"/>
  <c r="D268" i="5"/>
  <c r="C268" i="5"/>
  <c r="B268" i="5"/>
  <c r="A268" i="5"/>
  <c r="W267" i="5"/>
  <c r="V267" i="5"/>
  <c r="U267" i="5"/>
  <c r="T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R267" i="5" s="1"/>
  <c r="E267" i="5"/>
  <c r="D267" i="5"/>
  <c r="C267" i="5"/>
  <c r="B267" i="5"/>
  <c r="A267" i="5"/>
  <c r="W266" i="5"/>
  <c r="V266" i="5"/>
  <c r="U266" i="5"/>
  <c r="Q266" i="5"/>
  <c r="P266" i="5"/>
  <c r="O266" i="5"/>
  <c r="N266" i="5"/>
  <c r="M266" i="5"/>
  <c r="L266" i="5"/>
  <c r="K266" i="5"/>
  <c r="J266" i="5"/>
  <c r="I266" i="5"/>
  <c r="H266" i="5"/>
  <c r="T266" i="5" s="1"/>
  <c r="G266" i="5"/>
  <c r="F266" i="5"/>
  <c r="R266" i="5" s="1"/>
  <c r="E266" i="5"/>
  <c r="D266" i="5"/>
  <c r="C266" i="5"/>
  <c r="B266" i="5"/>
  <c r="A266" i="5"/>
  <c r="W265" i="5"/>
  <c r="V265" i="5"/>
  <c r="U265" i="5"/>
  <c r="T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R265" i="5" s="1"/>
  <c r="E265" i="5"/>
  <c r="D265" i="5"/>
  <c r="C265" i="5"/>
  <c r="B265" i="5"/>
  <c r="A265" i="5"/>
  <c r="W264" i="5"/>
  <c r="U264" i="5"/>
  <c r="Q264" i="5"/>
  <c r="P264" i="5"/>
  <c r="O264" i="5"/>
  <c r="N264" i="5"/>
  <c r="M264" i="5"/>
  <c r="L264" i="5"/>
  <c r="K264" i="5"/>
  <c r="J264" i="5"/>
  <c r="I264" i="5"/>
  <c r="V264" i="5" s="1"/>
  <c r="H264" i="5"/>
  <c r="T264" i="5" s="1"/>
  <c r="G264" i="5"/>
  <c r="F264" i="5"/>
  <c r="R264" i="5" s="1"/>
  <c r="E264" i="5"/>
  <c r="D264" i="5"/>
  <c r="C264" i="5"/>
  <c r="B264" i="5"/>
  <c r="A264" i="5"/>
  <c r="W263" i="5"/>
  <c r="V263" i="5"/>
  <c r="U263" i="5"/>
  <c r="T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R263" i="5" s="1"/>
  <c r="E263" i="5"/>
  <c r="D263" i="5"/>
  <c r="C263" i="5"/>
  <c r="B263" i="5"/>
  <c r="A263" i="5"/>
  <c r="W262" i="5"/>
  <c r="V262" i="5"/>
  <c r="U262" i="5"/>
  <c r="Q262" i="5"/>
  <c r="P262" i="5"/>
  <c r="O262" i="5"/>
  <c r="N262" i="5"/>
  <c r="M262" i="5"/>
  <c r="L262" i="5"/>
  <c r="K262" i="5"/>
  <c r="J262" i="5"/>
  <c r="I262" i="5"/>
  <c r="H262" i="5"/>
  <c r="T262" i="5" s="1"/>
  <c r="G262" i="5"/>
  <c r="F262" i="5"/>
  <c r="R262" i="5" s="1"/>
  <c r="E262" i="5"/>
  <c r="D262" i="5"/>
  <c r="C262" i="5"/>
  <c r="B262" i="5"/>
  <c r="A262" i="5"/>
  <c r="W261" i="5"/>
  <c r="V261" i="5"/>
  <c r="U261" i="5"/>
  <c r="T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R261" i="5" s="1"/>
  <c r="E261" i="5"/>
  <c r="D261" i="5"/>
  <c r="C261" i="5"/>
  <c r="B261" i="5"/>
  <c r="A261" i="5"/>
  <c r="W260" i="5"/>
  <c r="U260" i="5"/>
  <c r="Q260" i="5"/>
  <c r="P260" i="5"/>
  <c r="O260" i="5"/>
  <c r="N260" i="5"/>
  <c r="M260" i="5"/>
  <c r="L260" i="5"/>
  <c r="K260" i="5"/>
  <c r="J260" i="5"/>
  <c r="I260" i="5"/>
  <c r="V260" i="5" s="1"/>
  <c r="H260" i="5"/>
  <c r="T260" i="5" s="1"/>
  <c r="G260" i="5"/>
  <c r="F260" i="5"/>
  <c r="R260" i="5" s="1"/>
  <c r="E260" i="5"/>
  <c r="D260" i="5"/>
  <c r="C260" i="5"/>
  <c r="B260" i="5"/>
  <c r="A260" i="5"/>
  <c r="W259" i="5"/>
  <c r="V259" i="5"/>
  <c r="U259" i="5"/>
  <c r="T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R259" i="5" s="1"/>
  <c r="E259" i="5"/>
  <c r="D259" i="5"/>
  <c r="C259" i="5"/>
  <c r="B259" i="5"/>
  <c r="A259" i="5"/>
  <c r="W258" i="5"/>
  <c r="V258" i="5"/>
  <c r="U258" i="5"/>
  <c r="Q258" i="5"/>
  <c r="P258" i="5"/>
  <c r="O258" i="5"/>
  <c r="N258" i="5"/>
  <c r="M258" i="5"/>
  <c r="L258" i="5"/>
  <c r="K258" i="5"/>
  <c r="J258" i="5"/>
  <c r="I258" i="5"/>
  <c r="H258" i="5"/>
  <c r="T258" i="5" s="1"/>
  <c r="G258" i="5"/>
  <c r="F258" i="5"/>
  <c r="R258" i="5" s="1"/>
  <c r="E258" i="5"/>
  <c r="D258" i="5"/>
  <c r="C258" i="5"/>
  <c r="B258" i="5"/>
  <c r="A258" i="5"/>
  <c r="W257" i="5"/>
  <c r="V257" i="5"/>
  <c r="U257" i="5"/>
  <c r="T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R257" i="5" s="1"/>
  <c r="E257" i="5"/>
  <c r="D257" i="5"/>
  <c r="C257" i="5"/>
  <c r="B257" i="5"/>
  <c r="A257" i="5"/>
  <c r="W256" i="5"/>
  <c r="V256" i="5"/>
  <c r="U256" i="5"/>
  <c r="Q256" i="5"/>
  <c r="P256" i="5"/>
  <c r="O256" i="5"/>
  <c r="N256" i="5"/>
  <c r="M256" i="5"/>
  <c r="L256" i="5"/>
  <c r="K256" i="5"/>
  <c r="J256" i="5"/>
  <c r="I256" i="5"/>
  <c r="H256" i="5"/>
  <c r="T256" i="5" s="1"/>
  <c r="G256" i="5"/>
  <c r="F256" i="5"/>
  <c r="R256" i="5" s="1"/>
  <c r="E256" i="5"/>
  <c r="D256" i="5"/>
  <c r="C256" i="5"/>
  <c r="B256" i="5"/>
  <c r="A256" i="5"/>
  <c r="W255" i="5"/>
  <c r="V255" i="5"/>
  <c r="U255" i="5"/>
  <c r="T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R255" i="5" s="1"/>
  <c r="E255" i="5"/>
  <c r="D255" i="5"/>
  <c r="C255" i="5"/>
  <c r="B255" i="5"/>
  <c r="A255" i="5"/>
  <c r="W254" i="5"/>
  <c r="V254" i="5"/>
  <c r="U254" i="5"/>
  <c r="Q254" i="5"/>
  <c r="P254" i="5"/>
  <c r="O254" i="5"/>
  <c r="N254" i="5"/>
  <c r="M254" i="5"/>
  <c r="L254" i="5"/>
  <c r="K254" i="5"/>
  <c r="J254" i="5"/>
  <c r="I254" i="5"/>
  <c r="H254" i="5"/>
  <c r="T254" i="5" s="1"/>
  <c r="G254" i="5"/>
  <c r="F254" i="5"/>
  <c r="R254" i="5" s="1"/>
  <c r="E254" i="5"/>
  <c r="D254" i="5"/>
  <c r="C254" i="5"/>
  <c r="B254" i="5"/>
  <c r="A254" i="5"/>
  <c r="W253" i="5"/>
  <c r="V253" i="5"/>
  <c r="U253" i="5"/>
  <c r="T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R253" i="5" s="1"/>
  <c r="E253" i="5"/>
  <c r="D253" i="5"/>
  <c r="C253" i="5"/>
  <c r="B253" i="5"/>
  <c r="A253" i="5"/>
  <c r="W252" i="5"/>
  <c r="U252" i="5"/>
  <c r="T252" i="5"/>
  <c r="Q252" i="5"/>
  <c r="P252" i="5"/>
  <c r="O252" i="5"/>
  <c r="N252" i="5"/>
  <c r="M252" i="5"/>
  <c r="L252" i="5"/>
  <c r="K252" i="5"/>
  <c r="J252" i="5"/>
  <c r="I252" i="5"/>
  <c r="V252" i="5" s="1"/>
  <c r="H252" i="5"/>
  <c r="G252" i="5"/>
  <c r="F252" i="5"/>
  <c r="R252" i="5" s="1"/>
  <c r="E252" i="5"/>
  <c r="D252" i="5"/>
  <c r="C252" i="5"/>
  <c r="B252" i="5"/>
  <c r="A252" i="5"/>
  <c r="W251" i="5"/>
  <c r="V251" i="5"/>
  <c r="U251" i="5"/>
  <c r="T251" i="5"/>
  <c r="Q251" i="5"/>
  <c r="P251" i="5"/>
  <c r="O251" i="5"/>
  <c r="N251" i="5"/>
  <c r="M251" i="5"/>
  <c r="L251" i="5"/>
  <c r="K251" i="5"/>
  <c r="J251" i="5"/>
  <c r="I251" i="5"/>
  <c r="H251" i="5"/>
  <c r="G251" i="5"/>
  <c r="S251" i="5" s="1"/>
  <c r="F251" i="5"/>
  <c r="R251" i="5" s="1"/>
  <c r="E251" i="5"/>
  <c r="D251" i="5"/>
  <c r="C251" i="5"/>
  <c r="B251" i="5"/>
  <c r="A251" i="5"/>
  <c r="W250" i="5"/>
  <c r="V250" i="5"/>
  <c r="U250" i="5"/>
  <c r="Q250" i="5"/>
  <c r="P250" i="5"/>
  <c r="O250" i="5"/>
  <c r="N250" i="5"/>
  <c r="M250" i="5"/>
  <c r="L250" i="5"/>
  <c r="K250" i="5"/>
  <c r="J250" i="5"/>
  <c r="I250" i="5"/>
  <c r="H250" i="5"/>
  <c r="T250" i="5" s="1"/>
  <c r="G250" i="5"/>
  <c r="F250" i="5"/>
  <c r="R250" i="5" s="1"/>
  <c r="E250" i="5"/>
  <c r="D250" i="5"/>
  <c r="C250" i="5"/>
  <c r="B250" i="5"/>
  <c r="A250" i="5"/>
  <c r="W249" i="5"/>
  <c r="V249" i="5"/>
  <c r="U249" i="5"/>
  <c r="T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R249" i="5" s="1"/>
  <c r="E249" i="5"/>
  <c r="D249" i="5"/>
  <c r="C249" i="5"/>
  <c r="B249" i="5"/>
  <c r="A249" i="5"/>
  <c r="T248" i="5"/>
  <c r="Q248" i="5"/>
  <c r="M248" i="5"/>
  <c r="L248" i="5"/>
  <c r="K248" i="5"/>
  <c r="J248" i="5"/>
  <c r="W248" i="5" s="1"/>
  <c r="I248" i="5"/>
  <c r="V248" i="5" s="1"/>
  <c r="H248" i="5"/>
  <c r="G248" i="5"/>
  <c r="F248" i="5"/>
  <c r="R248" i="5" s="1"/>
  <c r="S248" i="5" s="1"/>
  <c r="E248" i="5"/>
  <c r="D248" i="5"/>
  <c r="C248" i="5"/>
  <c r="B248" i="5"/>
  <c r="U248" i="5" s="1"/>
  <c r="A248" i="5"/>
  <c r="T247" i="5"/>
  <c r="R247" i="5"/>
  <c r="Q247" i="5"/>
  <c r="O247" i="5"/>
  <c r="M247" i="5"/>
  <c r="L247" i="5"/>
  <c r="K247" i="5"/>
  <c r="J247" i="5"/>
  <c r="W247" i="5" s="1"/>
  <c r="I247" i="5"/>
  <c r="V247" i="5" s="1"/>
  <c r="H247" i="5"/>
  <c r="G247" i="5"/>
  <c r="S247" i="5" s="1"/>
  <c r="F247" i="5"/>
  <c r="E247" i="5"/>
  <c r="D247" i="5"/>
  <c r="C247" i="5"/>
  <c r="B247" i="5"/>
  <c r="U247" i="5" s="1"/>
  <c r="A247" i="5"/>
  <c r="X247" i="5" s="1"/>
  <c r="T246" i="5"/>
  <c r="R246" i="5"/>
  <c r="S246" i="5" s="1"/>
  <c r="M246" i="5"/>
  <c r="L246" i="5"/>
  <c r="K246" i="5"/>
  <c r="J246" i="5"/>
  <c r="W246" i="5" s="1"/>
  <c r="I246" i="5"/>
  <c r="V246" i="5" s="1"/>
  <c r="H246" i="5"/>
  <c r="G246" i="5"/>
  <c r="F246" i="5"/>
  <c r="E246" i="5"/>
  <c r="D246" i="5"/>
  <c r="C246" i="5"/>
  <c r="B246" i="5"/>
  <c r="U246" i="5" s="1"/>
  <c r="A246" i="5"/>
  <c r="W245" i="5"/>
  <c r="T245" i="5"/>
  <c r="S245" i="5"/>
  <c r="R245" i="5"/>
  <c r="Q245" i="5"/>
  <c r="O245" i="5"/>
  <c r="M245" i="5"/>
  <c r="L245" i="5"/>
  <c r="K245" i="5"/>
  <c r="J245" i="5"/>
  <c r="I245" i="5"/>
  <c r="V245" i="5" s="1"/>
  <c r="H245" i="5"/>
  <c r="G245" i="5"/>
  <c r="F245" i="5"/>
  <c r="E245" i="5"/>
  <c r="D245" i="5"/>
  <c r="C245" i="5"/>
  <c r="B245" i="5"/>
  <c r="U245" i="5" s="1"/>
  <c r="A245" i="5"/>
  <c r="X245" i="5" s="1"/>
  <c r="T244" i="5"/>
  <c r="R244" i="5"/>
  <c r="S244" i="5" s="1"/>
  <c r="M244" i="5"/>
  <c r="L244" i="5"/>
  <c r="K244" i="5"/>
  <c r="J244" i="5"/>
  <c r="W244" i="5" s="1"/>
  <c r="I244" i="5"/>
  <c r="V244" i="5" s="1"/>
  <c r="H244" i="5"/>
  <c r="G244" i="5"/>
  <c r="F244" i="5"/>
  <c r="E244" i="5"/>
  <c r="D244" i="5"/>
  <c r="C244" i="5"/>
  <c r="B244" i="5"/>
  <c r="U244" i="5" s="1"/>
  <c r="A244" i="5"/>
  <c r="W243" i="5"/>
  <c r="T243" i="5"/>
  <c r="R243" i="5"/>
  <c r="Q243" i="5"/>
  <c r="O243" i="5"/>
  <c r="M243" i="5"/>
  <c r="L243" i="5"/>
  <c r="K243" i="5"/>
  <c r="J243" i="5"/>
  <c r="I243" i="5"/>
  <c r="V243" i="5" s="1"/>
  <c r="H243" i="5"/>
  <c r="G243" i="5"/>
  <c r="F243" i="5"/>
  <c r="E243" i="5"/>
  <c r="D243" i="5"/>
  <c r="C243" i="5"/>
  <c r="B243" i="5"/>
  <c r="U243" i="5" s="1"/>
  <c r="A243" i="5"/>
  <c r="T242" i="5"/>
  <c r="R242" i="5"/>
  <c r="S242" i="5" s="1"/>
  <c r="M242" i="5"/>
  <c r="L242" i="5"/>
  <c r="K242" i="5"/>
  <c r="J242" i="5"/>
  <c r="W242" i="5" s="1"/>
  <c r="I242" i="5"/>
  <c r="V242" i="5" s="1"/>
  <c r="H242" i="5"/>
  <c r="G242" i="5"/>
  <c r="F242" i="5"/>
  <c r="E242" i="5"/>
  <c r="D242" i="5"/>
  <c r="C242" i="5"/>
  <c r="B242" i="5"/>
  <c r="U242" i="5" s="1"/>
  <c r="A242" i="5"/>
  <c r="W241" i="5"/>
  <c r="T241" i="5"/>
  <c r="R241" i="5"/>
  <c r="Q241" i="5"/>
  <c r="O241" i="5"/>
  <c r="M241" i="5"/>
  <c r="L241" i="5"/>
  <c r="K241" i="5"/>
  <c r="J241" i="5"/>
  <c r="I241" i="5"/>
  <c r="V241" i="5" s="1"/>
  <c r="H241" i="5"/>
  <c r="G241" i="5"/>
  <c r="S241" i="5" s="1"/>
  <c r="F241" i="5"/>
  <c r="E241" i="5"/>
  <c r="D241" i="5"/>
  <c r="C241" i="5"/>
  <c r="B241" i="5"/>
  <c r="U241" i="5" s="1"/>
  <c r="A241" i="5"/>
  <c r="T240" i="5"/>
  <c r="R240" i="5"/>
  <c r="S240" i="5" s="1"/>
  <c r="M240" i="5"/>
  <c r="L240" i="5"/>
  <c r="K240" i="5"/>
  <c r="J240" i="5"/>
  <c r="W240" i="5" s="1"/>
  <c r="I240" i="5"/>
  <c r="V240" i="5" s="1"/>
  <c r="H240" i="5"/>
  <c r="G240" i="5"/>
  <c r="F240" i="5"/>
  <c r="E240" i="5"/>
  <c r="D240" i="5"/>
  <c r="C240" i="5"/>
  <c r="B240" i="5"/>
  <c r="U240" i="5" s="1"/>
  <c r="A240" i="5"/>
  <c r="W239" i="5"/>
  <c r="T239" i="5"/>
  <c r="R239" i="5"/>
  <c r="Q239" i="5"/>
  <c r="O239" i="5"/>
  <c r="M239" i="5"/>
  <c r="L239" i="5"/>
  <c r="K239" i="5"/>
  <c r="J239" i="5"/>
  <c r="I239" i="5"/>
  <c r="V239" i="5" s="1"/>
  <c r="H239" i="5"/>
  <c r="G239" i="5"/>
  <c r="S239" i="5" s="1"/>
  <c r="F239" i="5"/>
  <c r="E239" i="5"/>
  <c r="D239" i="5"/>
  <c r="C239" i="5"/>
  <c r="B239" i="5"/>
  <c r="U239" i="5" s="1"/>
  <c r="A239" i="5"/>
  <c r="T238" i="5"/>
  <c r="R238" i="5"/>
  <c r="S238" i="5" s="1"/>
  <c r="M238" i="5"/>
  <c r="L238" i="5"/>
  <c r="K238" i="5"/>
  <c r="J238" i="5"/>
  <c r="W238" i="5" s="1"/>
  <c r="I238" i="5"/>
  <c r="V238" i="5" s="1"/>
  <c r="H238" i="5"/>
  <c r="G238" i="5"/>
  <c r="F238" i="5"/>
  <c r="E238" i="5"/>
  <c r="D238" i="5"/>
  <c r="C238" i="5"/>
  <c r="B238" i="5"/>
  <c r="U238" i="5" s="1"/>
  <c r="A238" i="5"/>
  <c r="W237" i="5"/>
  <c r="T237" i="5"/>
  <c r="R237" i="5"/>
  <c r="S237" i="5" s="1"/>
  <c r="Q237" i="5"/>
  <c r="O237" i="5"/>
  <c r="M237" i="5"/>
  <c r="L237" i="5"/>
  <c r="K237" i="5"/>
  <c r="J237" i="5"/>
  <c r="I237" i="5"/>
  <c r="V237" i="5" s="1"/>
  <c r="H237" i="5"/>
  <c r="G237" i="5"/>
  <c r="F237" i="5"/>
  <c r="E237" i="5"/>
  <c r="D237" i="5"/>
  <c r="C237" i="5"/>
  <c r="B237" i="5"/>
  <c r="U237" i="5" s="1"/>
  <c r="A237" i="5"/>
  <c r="U236" i="5"/>
  <c r="T236" i="5"/>
  <c r="S236" i="5"/>
  <c r="R236" i="5"/>
  <c r="M236" i="5"/>
  <c r="L236" i="5"/>
  <c r="K236" i="5"/>
  <c r="J236" i="5"/>
  <c r="W236" i="5" s="1"/>
  <c r="I236" i="5"/>
  <c r="V236" i="5" s="1"/>
  <c r="H236" i="5"/>
  <c r="G236" i="5"/>
  <c r="F236" i="5"/>
  <c r="E236" i="5"/>
  <c r="D236" i="5"/>
  <c r="C236" i="5"/>
  <c r="B236" i="5"/>
  <c r="A236" i="5"/>
  <c r="W235" i="5"/>
  <c r="T235" i="5"/>
  <c r="R235" i="5"/>
  <c r="S235" i="5" s="1"/>
  <c r="Q235" i="5"/>
  <c r="O235" i="5"/>
  <c r="M235" i="5"/>
  <c r="L235" i="5"/>
  <c r="K235" i="5"/>
  <c r="J235" i="5"/>
  <c r="I235" i="5"/>
  <c r="V235" i="5" s="1"/>
  <c r="H235" i="5"/>
  <c r="G235" i="5"/>
  <c r="F235" i="5"/>
  <c r="E235" i="5"/>
  <c r="D235" i="5"/>
  <c r="C235" i="5"/>
  <c r="B235" i="5"/>
  <c r="U235" i="5" s="1"/>
  <c r="A235" i="5"/>
  <c r="T234" i="5"/>
  <c r="R234" i="5"/>
  <c r="S234" i="5" s="1"/>
  <c r="M234" i="5"/>
  <c r="L234" i="5"/>
  <c r="K234" i="5"/>
  <c r="J234" i="5"/>
  <c r="W234" i="5" s="1"/>
  <c r="I234" i="5"/>
  <c r="V234" i="5" s="1"/>
  <c r="H234" i="5"/>
  <c r="G234" i="5"/>
  <c r="F234" i="5"/>
  <c r="E234" i="5"/>
  <c r="D234" i="5"/>
  <c r="C234" i="5"/>
  <c r="B234" i="5"/>
  <c r="U234" i="5" s="1"/>
  <c r="A234" i="5"/>
  <c r="W233" i="5"/>
  <c r="T233" i="5"/>
  <c r="R233" i="5"/>
  <c r="S233" i="5" s="1"/>
  <c r="Q233" i="5"/>
  <c r="O233" i="5"/>
  <c r="M233" i="5"/>
  <c r="L233" i="5"/>
  <c r="K233" i="5"/>
  <c r="J233" i="5"/>
  <c r="I233" i="5"/>
  <c r="V233" i="5" s="1"/>
  <c r="H233" i="5"/>
  <c r="G233" i="5"/>
  <c r="F233" i="5"/>
  <c r="E233" i="5"/>
  <c r="D233" i="5"/>
  <c r="C233" i="5"/>
  <c r="B233" i="5"/>
  <c r="U233" i="5" s="1"/>
  <c r="A233" i="5"/>
  <c r="U232" i="5"/>
  <c r="T232" i="5"/>
  <c r="R232" i="5"/>
  <c r="S232" i="5" s="1"/>
  <c r="M232" i="5"/>
  <c r="L232" i="5"/>
  <c r="K232" i="5"/>
  <c r="J232" i="5"/>
  <c r="W232" i="5" s="1"/>
  <c r="I232" i="5"/>
  <c r="V232" i="5" s="1"/>
  <c r="H232" i="5"/>
  <c r="G232" i="5"/>
  <c r="F232" i="5"/>
  <c r="E232" i="5"/>
  <c r="D232" i="5"/>
  <c r="C232" i="5"/>
  <c r="B232" i="5"/>
  <c r="A232" i="5"/>
  <c r="W231" i="5"/>
  <c r="T231" i="5"/>
  <c r="S231" i="5"/>
  <c r="R231" i="5"/>
  <c r="Q231" i="5"/>
  <c r="O231" i="5"/>
  <c r="M231" i="5"/>
  <c r="L231" i="5"/>
  <c r="K231" i="5"/>
  <c r="J231" i="5"/>
  <c r="I231" i="5"/>
  <c r="V231" i="5" s="1"/>
  <c r="H231" i="5"/>
  <c r="G231" i="5"/>
  <c r="F231" i="5"/>
  <c r="E231" i="5"/>
  <c r="D231" i="5"/>
  <c r="C231" i="5"/>
  <c r="B231" i="5"/>
  <c r="U231" i="5" s="1"/>
  <c r="A231" i="5"/>
  <c r="T230" i="5"/>
  <c r="S230" i="5"/>
  <c r="R230" i="5"/>
  <c r="M230" i="5"/>
  <c r="L230" i="5"/>
  <c r="K230" i="5"/>
  <c r="J230" i="5"/>
  <c r="W230" i="5" s="1"/>
  <c r="I230" i="5"/>
  <c r="V230" i="5" s="1"/>
  <c r="H230" i="5"/>
  <c r="G230" i="5"/>
  <c r="F230" i="5"/>
  <c r="E230" i="5"/>
  <c r="D230" i="5"/>
  <c r="C230" i="5"/>
  <c r="B230" i="5"/>
  <c r="U230" i="5" s="1"/>
  <c r="A230" i="5"/>
  <c r="W229" i="5"/>
  <c r="T229" i="5"/>
  <c r="R229" i="5"/>
  <c r="S229" i="5" s="1"/>
  <c r="Q229" i="5"/>
  <c r="O229" i="5"/>
  <c r="M229" i="5"/>
  <c r="L229" i="5"/>
  <c r="K229" i="5"/>
  <c r="J229" i="5"/>
  <c r="I229" i="5"/>
  <c r="V229" i="5" s="1"/>
  <c r="H229" i="5"/>
  <c r="G229" i="5"/>
  <c r="F229" i="5"/>
  <c r="E229" i="5"/>
  <c r="D229" i="5"/>
  <c r="C229" i="5"/>
  <c r="B229" i="5"/>
  <c r="U229" i="5" s="1"/>
  <c r="A229" i="5"/>
  <c r="U228" i="5"/>
  <c r="T228" i="5"/>
  <c r="S228" i="5"/>
  <c r="R228" i="5"/>
  <c r="M228" i="5"/>
  <c r="L228" i="5"/>
  <c r="K228" i="5"/>
  <c r="J228" i="5"/>
  <c r="W228" i="5" s="1"/>
  <c r="I228" i="5"/>
  <c r="V228" i="5" s="1"/>
  <c r="H228" i="5"/>
  <c r="G228" i="5"/>
  <c r="F228" i="5"/>
  <c r="E228" i="5"/>
  <c r="D228" i="5"/>
  <c r="C228" i="5"/>
  <c r="B228" i="5"/>
  <c r="A228" i="5"/>
  <c r="W227" i="5"/>
  <c r="T227" i="5"/>
  <c r="R227" i="5"/>
  <c r="S227" i="5" s="1"/>
  <c r="Q227" i="5"/>
  <c r="O227" i="5"/>
  <c r="M227" i="5"/>
  <c r="L227" i="5"/>
  <c r="K227" i="5"/>
  <c r="J227" i="5"/>
  <c r="I227" i="5"/>
  <c r="V227" i="5" s="1"/>
  <c r="H227" i="5"/>
  <c r="G227" i="5"/>
  <c r="F227" i="5"/>
  <c r="E227" i="5"/>
  <c r="D227" i="5"/>
  <c r="C227" i="5"/>
  <c r="B227" i="5"/>
  <c r="U227" i="5" s="1"/>
  <c r="A227" i="5"/>
  <c r="U226" i="5"/>
  <c r="T226" i="5"/>
  <c r="N226" i="5"/>
  <c r="M226" i="5"/>
  <c r="L226" i="5"/>
  <c r="K226" i="5"/>
  <c r="J226" i="5"/>
  <c r="W226" i="5" s="1"/>
  <c r="I226" i="5"/>
  <c r="V226" i="5" s="1"/>
  <c r="H226" i="5"/>
  <c r="G226" i="5"/>
  <c r="F226" i="5"/>
  <c r="R226" i="5" s="1"/>
  <c r="S226" i="5" s="1"/>
  <c r="E226" i="5"/>
  <c r="D226" i="5"/>
  <c r="C226" i="5"/>
  <c r="B226" i="5"/>
  <c r="A226" i="5"/>
  <c r="T225" i="5"/>
  <c r="R225" i="5"/>
  <c r="S225" i="5" s="1"/>
  <c r="Q225" i="5"/>
  <c r="O225" i="5"/>
  <c r="M225" i="5"/>
  <c r="L225" i="5"/>
  <c r="K225" i="5"/>
  <c r="J225" i="5"/>
  <c r="W225" i="5" s="1"/>
  <c r="I225" i="5"/>
  <c r="V225" i="5" s="1"/>
  <c r="H225" i="5"/>
  <c r="G225" i="5"/>
  <c r="F225" i="5"/>
  <c r="E225" i="5"/>
  <c r="D225" i="5"/>
  <c r="C225" i="5"/>
  <c r="P225" i="5" s="1"/>
  <c r="B225" i="5"/>
  <c r="U225" i="5" s="1"/>
  <c r="A225" i="5"/>
  <c r="V224" i="5"/>
  <c r="T224" i="5"/>
  <c r="Q224" i="5"/>
  <c r="O224" i="5"/>
  <c r="N224" i="5"/>
  <c r="M224" i="5"/>
  <c r="L224" i="5"/>
  <c r="K224" i="5"/>
  <c r="J224" i="5"/>
  <c r="W224" i="5" s="1"/>
  <c r="I224" i="5"/>
  <c r="H224" i="5"/>
  <c r="G224" i="5"/>
  <c r="F224" i="5"/>
  <c r="R224" i="5" s="1"/>
  <c r="E224" i="5"/>
  <c r="D224" i="5"/>
  <c r="C224" i="5"/>
  <c r="P224" i="5" s="1"/>
  <c r="B224" i="5"/>
  <c r="U224" i="5" s="1"/>
  <c r="A224" i="5"/>
  <c r="W223" i="5"/>
  <c r="V223" i="5"/>
  <c r="U223" i="5"/>
  <c r="T223" i="5"/>
  <c r="Q223" i="5"/>
  <c r="N223" i="5"/>
  <c r="M223" i="5"/>
  <c r="L223" i="5"/>
  <c r="K223" i="5"/>
  <c r="J223" i="5"/>
  <c r="I223" i="5"/>
  <c r="H223" i="5"/>
  <c r="G223" i="5"/>
  <c r="F223" i="5"/>
  <c r="R223" i="5" s="1"/>
  <c r="E223" i="5"/>
  <c r="D223" i="5"/>
  <c r="C223" i="5"/>
  <c r="P223" i="5" s="1"/>
  <c r="B223" i="5"/>
  <c r="A223" i="5"/>
  <c r="W222" i="5"/>
  <c r="U222" i="5"/>
  <c r="T222" i="5"/>
  <c r="M222" i="5"/>
  <c r="L222" i="5"/>
  <c r="K222" i="5"/>
  <c r="J222" i="5"/>
  <c r="I222" i="5"/>
  <c r="V222" i="5" s="1"/>
  <c r="H222" i="5"/>
  <c r="G222" i="5"/>
  <c r="F222" i="5"/>
  <c r="R222" i="5" s="1"/>
  <c r="S222" i="5" s="1"/>
  <c r="E222" i="5"/>
  <c r="D222" i="5"/>
  <c r="C222" i="5"/>
  <c r="B222" i="5"/>
  <c r="A222" i="5"/>
  <c r="U221" i="5"/>
  <c r="T221" i="5"/>
  <c r="R221" i="5"/>
  <c r="S221" i="5" s="1"/>
  <c r="Q221" i="5"/>
  <c r="O221" i="5"/>
  <c r="M221" i="5"/>
  <c r="L221" i="5"/>
  <c r="K221" i="5"/>
  <c r="J221" i="5"/>
  <c r="W221" i="5" s="1"/>
  <c r="I221" i="5"/>
  <c r="V221" i="5" s="1"/>
  <c r="H221" i="5"/>
  <c r="G221" i="5"/>
  <c r="F221" i="5"/>
  <c r="E221" i="5"/>
  <c r="D221" i="5"/>
  <c r="C221" i="5"/>
  <c r="P221" i="5" s="1"/>
  <c r="B221" i="5"/>
  <c r="A221" i="5"/>
  <c r="V220" i="5"/>
  <c r="T220" i="5"/>
  <c r="S220" i="5"/>
  <c r="Q220" i="5"/>
  <c r="O220" i="5"/>
  <c r="N220" i="5"/>
  <c r="M220" i="5"/>
  <c r="L220" i="5"/>
  <c r="K220" i="5"/>
  <c r="J220" i="5"/>
  <c r="W220" i="5" s="1"/>
  <c r="I220" i="5"/>
  <c r="H220" i="5"/>
  <c r="G220" i="5"/>
  <c r="F220" i="5"/>
  <c r="R220" i="5" s="1"/>
  <c r="E220" i="5"/>
  <c r="D220" i="5"/>
  <c r="C220" i="5"/>
  <c r="P220" i="5" s="1"/>
  <c r="B220" i="5"/>
  <c r="U220" i="5" s="1"/>
  <c r="A220" i="5"/>
  <c r="W219" i="5"/>
  <c r="V219" i="5"/>
  <c r="U219" i="5"/>
  <c r="T219" i="5"/>
  <c r="Q219" i="5"/>
  <c r="N219" i="5"/>
  <c r="M219" i="5"/>
  <c r="L219" i="5"/>
  <c r="K219" i="5"/>
  <c r="J219" i="5"/>
  <c r="I219" i="5"/>
  <c r="H219" i="5"/>
  <c r="G219" i="5"/>
  <c r="F219" i="5"/>
  <c r="R219" i="5" s="1"/>
  <c r="E219" i="5"/>
  <c r="D219" i="5"/>
  <c r="C219" i="5"/>
  <c r="P219" i="5" s="1"/>
  <c r="B219" i="5"/>
  <c r="A219" i="5"/>
  <c r="W218" i="5"/>
  <c r="U218" i="5"/>
  <c r="T218" i="5"/>
  <c r="N218" i="5"/>
  <c r="M218" i="5"/>
  <c r="L218" i="5"/>
  <c r="K218" i="5"/>
  <c r="J218" i="5"/>
  <c r="I218" i="5"/>
  <c r="V218" i="5" s="1"/>
  <c r="H218" i="5"/>
  <c r="G218" i="5"/>
  <c r="F218" i="5"/>
  <c r="R218" i="5" s="1"/>
  <c r="S218" i="5" s="1"/>
  <c r="E218" i="5"/>
  <c r="D218" i="5"/>
  <c r="C218" i="5"/>
  <c r="B218" i="5"/>
  <c r="A218" i="5"/>
  <c r="U217" i="5"/>
  <c r="T217" i="5"/>
  <c r="R217" i="5"/>
  <c r="S217" i="5" s="1"/>
  <c r="Q217" i="5"/>
  <c r="O217" i="5"/>
  <c r="M217" i="5"/>
  <c r="L217" i="5"/>
  <c r="K217" i="5"/>
  <c r="J217" i="5"/>
  <c r="W217" i="5" s="1"/>
  <c r="I217" i="5"/>
  <c r="V217" i="5" s="1"/>
  <c r="H217" i="5"/>
  <c r="G217" i="5"/>
  <c r="F217" i="5"/>
  <c r="E217" i="5"/>
  <c r="D217" i="5"/>
  <c r="C217" i="5"/>
  <c r="P217" i="5" s="1"/>
  <c r="B217" i="5"/>
  <c r="A217" i="5"/>
  <c r="V216" i="5"/>
  <c r="T216" i="5"/>
  <c r="Q216" i="5"/>
  <c r="O216" i="5"/>
  <c r="N216" i="5"/>
  <c r="M216" i="5"/>
  <c r="L216" i="5"/>
  <c r="K216" i="5"/>
  <c r="J216" i="5"/>
  <c r="W216" i="5" s="1"/>
  <c r="I216" i="5"/>
  <c r="H216" i="5"/>
  <c r="G216" i="5"/>
  <c r="S216" i="5" s="1"/>
  <c r="F216" i="5"/>
  <c r="R216" i="5" s="1"/>
  <c r="E216" i="5"/>
  <c r="D216" i="5"/>
  <c r="C216" i="5"/>
  <c r="P216" i="5" s="1"/>
  <c r="B216" i="5"/>
  <c r="U216" i="5" s="1"/>
  <c r="A216" i="5"/>
  <c r="W215" i="5"/>
  <c r="V215" i="5"/>
  <c r="U215" i="5"/>
  <c r="T215" i="5"/>
  <c r="Q215" i="5"/>
  <c r="N215" i="5"/>
  <c r="M215" i="5"/>
  <c r="L215" i="5"/>
  <c r="K215" i="5"/>
  <c r="J215" i="5"/>
  <c r="I215" i="5"/>
  <c r="H215" i="5"/>
  <c r="G215" i="5"/>
  <c r="F215" i="5"/>
  <c r="R215" i="5" s="1"/>
  <c r="E215" i="5"/>
  <c r="D215" i="5"/>
  <c r="C215" i="5"/>
  <c r="P215" i="5" s="1"/>
  <c r="B215" i="5"/>
  <c r="A215" i="5"/>
  <c r="W214" i="5"/>
  <c r="U214" i="5"/>
  <c r="T214" i="5"/>
  <c r="M214" i="5"/>
  <c r="L214" i="5"/>
  <c r="K214" i="5"/>
  <c r="J214" i="5"/>
  <c r="I214" i="5"/>
  <c r="V214" i="5" s="1"/>
  <c r="H214" i="5"/>
  <c r="G214" i="5"/>
  <c r="F214" i="5"/>
  <c r="R214" i="5" s="1"/>
  <c r="S214" i="5" s="1"/>
  <c r="E214" i="5"/>
  <c r="D214" i="5"/>
  <c r="C214" i="5"/>
  <c r="B214" i="5"/>
  <c r="A214" i="5"/>
  <c r="T213" i="5"/>
  <c r="R213" i="5"/>
  <c r="S213" i="5" s="1"/>
  <c r="Q213" i="5"/>
  <c r="O213" i="5"/>
  <c r="M213" i="5"/>
  <c r="L213" i="5"/>
  <c r="K213" i="5"/>
  <c r="J213" i="5"/>
  <c r="W213" i="5" s="1"/>
  <c r="I213" i="5"/>
  <c r="V213" i="5" s="1"/>
  <c r="H213" i="5"/>
  <c r="G213" i="5"/>
  <c r="F213" i="5"/>
  <c r="E213" i="5"/>
  <c r="D213" i="5"/>
  <c r="C213" i="5"/>
  <c r="P213" i="5" s="1"/>
  <c r="B213" i="5"/>
  <c r="U213" i="5" s="1"/>
  <c r="A213" i="5"/>
  <c r="V212" i="5"/>
  <c r="T212" i="5"/>
  <c r="Q212" i="5"/>
  <c r="O212" i="5"/>
  <c r="N212" i="5"/>
  <c r="M212" i="5"/>
  <c r="L212" i="5"/>
  <c r="K212" i="5"/>
  <c r="J212" i="5"/>
  <c r="W212" i="5" s="1"/>
  <c r="I212" i="5"/>
  <c r="H212" i="5"/>
  <c r="G212" i="5"/>
  <c r="F212" i="5"/>
  <c r="R212" i="5" s="1"/>
  <c r="S212" i="5" s="1"/>
  <c r="E212" i="5"/>
  <c r="D212" i="5"/>
  <c r="C212" i="5"/>
  <c r="P212" i="5" s="1"/>
  <c r="B212" i="5"/>
  <c r="U212" i="5" s="1"/>
  <c r="A212" i="5"/>
  <c r="W211" i="5"/>
  <c r="V211" i="5"/>
  <c r="U211" i="5"/>
  <c r="T211" i="5"/>
  <c r="Q211" i="5"/>
  <c r="N211" i="5"/>
  <c r="M211" i="5"/>
  <c r="L211" i="5"/>
  <c r="K211" i="5"/>
  <c r="J211" i="5"/>
  <c r="I211" i="5"/>
  <c r="H211" i="5"/>
  <c r="G211" i="5"/>
  <c r="F211" i="5"/>
  <c r="R211" i="5" s="1"/>
  <c r="E211" i="5"/>
  <c r="D211" i="5"/>
  <c r="C211" i="5"/>
  <c r="P211" i="5" s="1"/>
  <c r="B211" i="5"/>
  <c r="A211" i="5"/>
  <c r="W210" i="5"/>
  <c r="U210" i="5"/>
  <c r="T210" i="5"/>
  <c r="N210" i="5"/>
  <c r="M210" i="5"/>
  <c r="L210" i="5"/>
  <c r="K210" i="5"/>
  <c r="J210" i="5"/>
  <c r="I210" i="5"/>
  <c r="V210" i="5" s="1"/>
  <c r="H210" i="5"/>
  <c r="G210" i="5"/>
  <c r="F210" i="5"/>
  <c r="R210" i="5" s="1"/>
  <c r="S210" i="5" s="1"/>
  <c r="E210" i="5"/>
  <c r="D210" i="5"/>
  <c r="C210" i="5"/>
  <c r="B210" i="5"/>
  <c r="A210" i="5"/>
  <c r="U209" i="5"/>
  <c r="T209" i="5"/>
  <c r="R209" i="5"/>
  <c r="S209" i="5" s="1"/>
  <c r="Q209" i="5"/>
  <c r="O209" i="5"/>
  <c r="M209" i="5"/>
  <c r="L209" i="5"/>
  <c r="K209" i="5"/>
  <c r="J209" i="5"/>
  <c r="W209" i="5" s="1"/>
  <c r="I209" i="5"/>
  <c r="V209" i="5" s="1"/>
  <c r="H209" i="5"/>
  <c r="G209" i="5"/>
  <c r="F209" i="5"/>
  <c r="E209" i="5"/>
  <c r="D209" i="5"/>
  <c r="C209" i="5"/>
  <c r="P209" i="5" s="1"/>
  <c r="B209" i="5"/>
  <c r="A209" i="5"/>
  <c r="V208" i="5"/>
  <c r="T208" i="5"/>
  <c r="Q208" i="5"/>
  <c r="O208" i="5"/>
  <c r="N208" i="5"/>
  <c r="M208" i="5"/>
  <c r="L208" i="5"/>
  <c r="K208" i="5"/>
  <c r="J208" i="5"/>
  <c r="W208" i="5" s="1"/>
  <c r="I208" i="5"/>
  <c r="H208" i="5"/>
  <c r="G208" i="5"/>
  <c r="F208" i="5"/>
  <c r="R208" i="5" s="1"/>
  <c r="E208" i="5"/>
  <c r="D208" i="5"/>
  <c r="C208" i="5"/>
  <c r="P208" i="5" s="1"/>
  <c r="B208" i="5"/>
  <c r="U208" i="5" s="1"/>
  <c r="A208" i="5"/>
  <c r="W207" i="5"/>
  <c r="V207" i="5"/>
  <c r="U207" i="5"/>
  <c r="T207" i="5"/>
  <c r="Q207" i="5"/>
  <c r="N207" i="5"/>
  <c r="M207" i="5"/>
  <c r="L207" i="5"/>
  <c r="K207" i="5"/>
  <c r="J207" i="5"/>
  <c r="I207" i="5"/>
  <c r="H207" i="5"/>
  <c r="G207" i="5"/>
  <c r="S207" i="5" s="1"/>
  <c r="F207" i="5"/>
  <c r="R207" i="5" s="1"/>
  <c r="E207" i="5"/>
  <c r="D207" i="5"/>
  <c r="C207" i="5"/>
  <c r="P207" i="5" s="1"/>
  <c r="B207" i="5"/>
  <c r="A207" i="5"/>
  <c r="W206" i="5"/>
  <c r="U206" i="5"/>
  <c r="T206" i="5"/>
  <c r="M206" i="5"/>
  <c r="L206" i="5"/>
  <c r="K206" i="5"/>
  <c r="J206" i="5"/>
  <c r="I206" i="5"/>
  <c r="V206" i="5" s="1"/>
  <c r="H206" i="5"/>
  <c r="G206" i="5"/>
  <c r="F206" i="5"/>
  <c r="R206" i="5" s="1"/>
  <c r="S206" i="5" s="1"/>
  <c r="E206" i="5"/>
  <c r="D206" i="5"/>
  <c r="C206" i="5"/>
  <c r="B206" i="5"/>
  <c r="A206" i="5"/>
  <c r="U205" i="5"/>
  <c r="T205" i="5"/>
  <c r="R205" i="5"/>
  <c r="S205" i="5" s="1"/>
  <c r="Q205" i="5"/>
  <c r="O205" i="5"/>
  <c r="M205" i="5"/>
  <c r="L205" i="5"/>
  <c r="K205" i="5"/>
  <c r="J205" i="5"/>
  <c r="W205" i="5" s="1"/>
  <c r="I205" i="5"/>
  <c r="V205" i="5" s="1"/>
  <c r="H205" i="5"/>
  <c r="G205" i="5"/>
  <c r="F205" i="5"/>
  <c r="E205" i="5"/>
  <c r="D205" i="5"/>
  <c r="C205" i="5"/>
  <c r="P205" i="5" s="1"/>
  <c r="B205" i="5"/>
  <c r="A205" i="5"/>
  <c r="V204" i="5"/>
  <c r="T204" i="5"/>
  <c r="S204" i="5"/>
  <c r="Q204" i="5"/>
  <c r="O204" i="5"/>
  <c r="N204" i="5"/>
  <c r="M204" i="5"/>
  <c r="L204" i="5"/>
  <c r="K204" i="5"/>
  <c r="J204" i="5"/>
  <c r="W204" i="5" s="1"/>
  <c r="I204" i="5"/>
  <c r="H204" i="5"/>
  <c r="G204" i="5"/>
  <c r="F204" i="5"/>
  <c r="R204" i="5" s="1"/>
  <c r="E204" i="5"/>
  <c r="D204" i="5"/>
  <c r="C204" i="5"/>
  <c r="P204" i="5" s="1"/>
  <c r="B204" i="5"/>
  <c r="U204" i="5" s="1"/>
  <c r="A204" i="5"/>
  <c r="W203" i="5"/>
  <c r="V203" i="5"/>
  <c r="U203" i="5"/>
  <c r="T203" i="5"/>
  <c r="Q203" i="5"/>
  <c r="N203" i="5"/>
  <c r="M203" i="5"/>
  <c r="L203" i="5"/>
  <c r="K203" i="5"/>
  <c r="J203" i="5"/>
  <c r="I203" i="5"/>
  <c r="H203" i="5"/>
  <c r="G203" i="5"/>
  <c r="F203" i="5"/>
  <c r="R203" i="5" s="1"/>
  <c r="E203" i="5"/>
  <c r="D203" i="5"/>
  <c r="C203" i="5"/>
  <c r="P203" i="5" s="1"/>
  <c r="B203" i="5"/>
  <c r="A203" i="5"/>
  <c r="W202" i="5"/>
  <c r="U202" i="5"/>
  <c r="T202" i="5"/>
  <c r="N202" i="5"/>
  <c r="M202" i="5"/>
  <c r="L202" i="5"/>
  <c r="K202" i="5"/>
  <c r="J202" i="5"/>
  <c r="I202" i="5"/>
  <c r="V202" i="5" s="1"/>
  <c r="H202" i="5"/>
  <c r="G202" i="5"/>
  <c r="F202" i="5"/>
  <c r="R202" i="5" s="1"/>
  <c r="S202" i="5" s="1"/>
  <c r="E202" i="5"/>
  <c r="D202" i="5"/>
  <c r="C202" i="5"/>
  <c r="B202" i="5"/>
  <c r="A202" i="5"/>
  <c r="U201" i="5"/>
  <c r="T201" i="5"/>
  <c r="R201" i="5"/>
  <c r="S201" i="5" s="1"/>
  <c r="Q201" i="5"/>
  <c r="O201" i="5"/>
  <c r="M201" i="5"/>
  <c r="L201" i="5"/>
  <c r="K201" i="5"/>
  <c r="J201" i="5"/>
  <c r="W201" i="5" s="1"/>
  <c r="I201" i="5"/>
  <c r="V201" i="5" s="1"/>
  <c r="H201" i="5"/>
  <c r="G201" i="5"/>
  <c r="F201" i="5"/>
  <c r="E201" i="5"/>
  <c r="D201" i="5"/>
  <c r="C201" i="5"/>
  <c r="P201" i="5" s="1"/>
  <c r="B201" i="5"/>
  <c r="A201" i="5"/>
  <c r="V200" i="5"/>
  <c r="T200" i="5"/>
  <c r="Q200" i="5"/>
  <c r="O200" i="5"/>
  <c r="N200" i="5"/>
  <c r="M200" i="5"/>
  <c r="L200" i="5"/>
  <c r="K200" i="5"/>
  <c r="J200" i="5"/>
  <c r="W200" i="5" s="1"/>
  <c r="I200" i="5"/>
  <c r="H200" i="5"/>
  <c r="G200" i="5"/>
  <c r="F200" i="5"/>
  <c r="R200" i="5" s="1"/>
  <c r="E200" i="5"/>
  <c r="D200" i="5"/>
  <c r="C200" i="5"/>
  <c r="P200" i="5" s="1"/>
  <c r="B200" i="5"/>
  <c r="U200" i="5" s="1"/>
  <c r="A200" i="5"/>
  <c r="W199" i="5"/>
  <c r="V199" i="5"/>
  <c r="U199" i="5"/>
  <c r="T199" i="5"/>
  <c r="Q199" i="5"/>
  <c r="N199" i="5"/>
  <c r="M199" i="5"/>
  <c r="L199" i="5"/>
  <c r="K199" i="5"/>
  <c r="J199" i="5"/>
  <c r="I199" i="5"/>
  <c r="H199" i="5"/>
  <c r="G199" i="5"/>
  <c r="F199" i="5"/>
  <c r="R199" i="5" s="1"/>
  <c r="E199" i="5"/>
  <c r="D199" i="5"/>
  <c r="C199" i="5"/>
  <c r="P199" i="5" s="1"/>
  <c r="B199" i="5"/>
  <c r="A199" i="5"/>
  <c r="W198" i="5"/>
  <c r="U198" i="5"/>
  <c r="T198" i="5"/>
  <c r="N198" i="5"/>
  <c r="M198" i="5"/>
  <c r="L198" i="5"/>
  <c r="K198" i="5"/>
  <c r="J198" i="5"/>
  <c r="I198" i="5"/>
  <c r="V198" i="5" s="1"/>
  <c r="H198" i="5"/>
  <c r="G198" i="5"/>
  <c r="F198" i="5"/>
  <c r="R198" i="5" s="1"/>
  <c r="S198" i="5" s="1"/>
  <c r="E198" i="5"/>
  <c r="D198" i="5"/>
  <c r="C198" i="5"/>
  <c r="B198" i="5"/>
  <c r="A198" i="5"/>
  <c r="T197" i="5"/>
  <c r="S197" i="5"/>
  <c r="R197" i="5"/>
  <c r="Q197" i="5"/>
  <c r="O197" i="5"/>
  <c r="M197" i="5"/>
  <c r="L197" i="5"/>
  <c r="K197" i="5"/>
  <c r="J197" i="5"/>
  <c r="W197" i="5" s="1"/>
  <c r="I197" i="5"/>
  <c r="V197" i="5" s="1"/>
  <c r="H197" i="5"/>
  <c r="G197" i="5"/>
  <c r="F197" i="5"/>
  <c r="E197" i="5"/>
  <c r="D197" i="5"/>
  <c r="C197" i="5"/>
  <c r="P197" i="5" s="1"/>
  <c r="B197" i="5"/>
  <c r="U197" i="5" s="1"/>
  <c r="A197" i="5"/>
  <c r="V196" i="5"/>
  <c r="T196" i="5"/>
  <c r="Q196" i="5"/>
  <c r="O196" i="5"/>
  <c r="N196" i="5"/>
  <c r="M196" i="5"/>
  <c r="L196" i="5"/>
  <c r="K196" i="5"/>
  <c r="J196" i="5"/>
  <c r="W196" i="5" s="1"/>
  <c r="I196" i="5"/>
  <c r="H196" i="5"/>
  <c r="G196" i="5"/>
  <c r="F196" i="5"/>
  <c r="R196" i="5" s="1"/>
  <c r="S196" i="5" s="1"/>
  <c r="E196" i="5"/>
  <c r="D196" i="5"/>
  <c r="C196" i="5"/>
  <c r="P196" i="5" s="1"/>
  <c r="B196" i="5"/>
  <c r="U196" i="5" s="1"/>
  <c r="A196" i="5"/>
  <c r="W195" i="5"/>
  <c r="V195" i="5"/>
  <c r="U195" i="5"/>
  <c r="T195" i="5"/>
  <c r="Q195" i="5"/>
  <c r="N195" i="5"/>
  <c r="M195" i="5"/>
  <c r="L195" i="5"/>
  <c r="K195" i="5"/>
  <c r="J195" i="5"/>
  <c r="I195" i="5"/>
  <c r="H195" i="5"/>
  <c r="G195" i="5"/>
  <c r="F195" i="5"/>
  <c r="R195" i="5" s="1"/>
  <c r="E195" i="5"/>
  <c r="D195" i="5"/>
  <c r="C195" i="5"/>
  <c r="P195" i="5" s="1"/>
  <c r="B195" i="5"/>
  <c r="A195" i="5"/>
  <c r="W194" i="5"/>
  <c r="U194" i="5"/>
  <c r="T194" i="5"/>
  <c r="N194" i="5"/>
  <c r="M194" i="5"/>
  <c r="L194" i="5"/>
  <c r="K194" i="5"/>
  <c r="J194" i="5"/>
  <c r="I194" i="5"/>
  <c r="V194" i="5" s="1"/>
  <c r="H194" i="5"/>
  <c r="G194" i="5"/>
  <c r="F194" i="5"/>
  <c r="R194" i="5" s="1"/>
  <c r="S194" i="5" s="1"/>
  <c r="E194" i="5"/>
  <c r="D194" i="5"/>
  <c r="C194" i="5"/>
  <c r="B194" i="5"/>
  <c r="A194" i="5"/>
  <c r="U193" i="5"/>
  <c r="T193" i="5"/>
  <c r="R193" i="5"/>
  <c r="S193" i="5" s="1"/>
  <c r="Q193" i="5"/>
  <c r="O193" i="5"/>
  <c r="M193" i="5"/>
  <c r="L193" i="5"/>
  <c r="K193" i="5"/>
  <c r="J193" i="5"/>
  <c r="W193" i="5" s="1"/>
  <c r="I193" i="5"/>
  <c r="V193" i="5" s="1"/>
  <c r="H193" i="5"/>
  <c r="G193" i="5"/>
  <c r="F193" i="5"/>
  <c r="E193" i="5"/>
  <c r="D193" i="5"/>
  <c r="C193" i="5"/>
  <c r="P193" i="5" s="1"/>
  <c r="B193" i="5"/>
  <c r="A193" i="5"/>
  <c r="V192" i="5"/>
  <c r="T192" i="5"/>
  <c r="Q192" i="5"/>
  <c r="O192" i="5"/>
  <c r="N192" i="5"/>
  <c r="M192" i="5"/>
  <c r="L192" i="5"/>
  <c r="K192" i="5"/>
  <c r="J192" i="5"/>
  <c r="W192" i="5" s="1"/>
  <c r="I192" i="5"/>
  <c r="H192" i="5"/>
  <c r="G192" i="5"/>
  <c r="F192" i="5"/>
  <c r="R192" i="5" s="1"/>
  <c r="E192" i="5"/>
  <c r="D192" i="5"/>
  <c r="C192" i="5"/>
  <c r="P192" i="5" s="1"/>
  <c r="B192" i="5"/>
  <c r="U192" i="5" s="1"/>
  <c r="A192" i="5"/>
  <c r="W191" i="5"/>
  <c r="V191" i="5"/>
  <c r="U191" i="5"/>
  <c r="T191" i="5"/>
  <c r="Q191" i="5"/>
  <c r="N191" i="5"/>
  <c r="M191" i="5"/>
  <c r="L191" i="5"/>
  <c r="K191" i="5"/>
  <c r="J191" i="5"/>
  <c r="I191" i="5"/>
  <c r="H191" i="5"/>
  <c r="G191" i="5"/>
  <c r="S191" i="5" s="1"/>
  <c r="F191" i="5"/>
  <c r="R191" i="5" s="1"/>
  <c r="E191" i="5"/>
  <c r="D191" i="5"/>
  <c r="C191" i="5"/>
  <c r="P191" i="5" s="1"/>
  <c r="B191" i="5"/>
  <c r="A191" i="5"/>
  <c r="W190" i="5"/>
  <c r="U190" i="5"/>
  <c r="T190" i="5"/>
  <c r="M190" i="5"/>
  <c r="L190" i="5"/>
  <c r="K190" i="5"/>
  <c r="J190" i="5"/>
  <c r="I190" i="5"/>
  <c r="V190" i="5" s="1"/>
  <c r="H190" i="5"/>
  <c r="G190" i="5"/>
  <c r="F190" i="5"/>
  <c r="R190" i="5" s="1"/>
  <c r="S190" i="5" s="1"/>
  <c r="E190" i="5"/>
  <c r="D190" i="5"/>
  <c r="C190" i="5"/>
  <c r="B190" i="5"/>
  <c r="A190" i="5"/>
  <c r="U189" i="5"/>
  <c r="T189" i="5"/>
  <c r="R189" i="5"/>
  <c r="S189" i="5" s="1"/>
  <c r="Q189" i="5"/>
  <c r="O189" i="5"/>
  <c r="M189" i="5"/>
  <c r="L189" i="5"/>
  <c r="K189" i="5"/>
  <c r="J189" i="5"/>
  <c r="W189" i="5" s="1"/>
  <c r="I189" i="5"/>
  <c r="V189" i="5" s="1"/>
  <c r="H189" i="5"/>
  <c r="G189" i="5"/>
  <c r="F189" i="5"/>
  <c r="E189" i="5"/>
  <c r="D189" i="5"/>
  <c r="C189" i="5"/>
  <c r="P189" i="5" s="1"/>
  <c r="B189" i="5"/>
  <c r="A189" i="5"/>
  <c r="V188" i="5"/>
  <c r="T188" i="5"/>
  <c r="S188" i="5"/>
  <c r="Q188" i="5"/>
  <c r="O188" i="5"/>
  <c r="N188" i="5"/>
  <c r="M188" i="5"/>
  <c r="L188" i="5"/>
  <c r="K188" i="5"/>
  <c r="J188" i="5"/>
  <c r="W188" i="5" s="1"/>
  <c r="I188" i="5"/>
  <c r="H188" i="5"/>
  <c r="G188" i="5"/>
  <c r="F188" i="5"/>
  <c r="R188" i="5" s="1"/>
  <c r="E188" i="5"/>
  <c r="D188" i="5"/>
  <c r="C188" i="5"/>
  <c r="P188" i="5" s="1"/>
  <c r="B188" i="5"/>
  <c r="U188" i="5" s="1"/>
  <c r="A188" i="5"/>
  <c r="W187" i="5"/>
  <c r="V187" i="5"/>
  <c r="U187" i="5"/>
  <c r="T187" i="5"/>
  <c r="Q187" i="5"/>
  <c r="N187" i="5"/>
  <c r="M187" i="5"/>
  <c r="L187" i="5"/>
  <c r="K187" i="5"/>
  <c r="J187" i="5"/>
  <c r="I187" i="5"/>
  <c r="H187" i="5"/>
  <c r="G187" i="5"/>
  <c r="F187" i="5"/>
  <c r="R187" i="5" s="1"/>
  <c r="E187" i="5"/>
  <c r="D187" i="5"/>
  <c r="C187" i="5"/>
  <c r="P187" i="5" s="1"/>
  <c r="B187" i="5"/>
  <c r="A187" i="5"/>
  <c r="W186" i="5"/>
  <c r="U186" i="5"/>
  <c r="T186" i="5"/>
  <c r="N186" i="5"/>
  <c r="M186" i="5"/>
  <c r="L186" i="5"/>
  <c r="K186" i="5"/>
  <c r="J186" i="5"/>
  <c r="I186" i="5"/>
  <c r="V186" i="5" s="1"/>
  <c r="H186" i="5"/>
  <c r="G186" i="5"/>
  <c r="F186" i="5"/>
  <c r="R186" i="5" s="1"/>
  <c r="S186" i="5" s="1"/>
  <c r="E186" i="5"/>
  <c r="D186" i="5"/>
  <c r="C186" i="5"/>
  <c r="B186" i="5"/>
  <c r="A186" i="5"/>
  <c r="U185" i="5"/>
  <c r="T185" i="5"/>
  <c r="R185" i="5"/>
  <c r="S185" i="5" s="1"/>
  <c r="Q185" i="5"/>
  <c r="O185" i="5"/>
  <c r="M185" i="5"/>
  <c r="L185" i="5"/>
  <c r="K185" i="5"/>
  <c r="J185" i="5"/>
  <c r="W185" i="5" s="1"/>
  <c r="I185" i="5"/>
  <c r="V185" i="5" s="1"/>
  <c r="H185" i="5"/>
  <c r="G185" i="5"/>
  <c r="F185" i="5"/>
  <c r="E185" i="5"/>
  <c r="D185" i="5"/>
  <c r="C185" i="5"/>
  <c r="P185" i="5" s="1"/>
  <c r="B185" i="5"/>
  <c r="A185" i="5"/>
  <c r="V184" i="5"/>
  <c r="T184" i="5"/>
  <c r="Q184" i="5"/>
  <c r="O184" i="5"/>
  <c r="N184" i="5"/>
  <c r="M184" i="5"/>
  <c r="L184" i="5"/>
  <c r="K184" i="5"/>
  <c r="J184" i="5"/>
  <c r="W184" i="5" s="1"/>
  <c r="I184" i="5"/>
  <c r="H184" i="5"/>
  <c r="G184" i="5"/>
  <c r="S184" i="5" s="1"/>
  <c r="F184" i="5"/>
  <c r="R184" i="5" s="1"/>
  <c r="E184" i="5"/>
  <c r="D184" i="5"/>
  <c r="C184" i="5"/>
  <c r="P184" i="5" s="1"/>
  <c r="B184" i="5"/>
  <c r="U184" i="5" s="1"/>
  <c r="A184" i="5"/>
  <c r="W183" i="5"/>
  <c r="V183" i="5"/>
  <c r="U183" i="5"/>
  <c r="T183" i="5"/>
  <c r="Q183" i="5"/>
  <c r="N183" i="5"/>
  <c r="M183" i="5"/>
  <c r="L183" i="5"/>
  <c r="K183" i="5"/>
  <c r="J183" i="5"/>
  <c r="I183" i="5"/>
  <c r="H183" i="5"/>
  <c r="G183" i="5"/>
  <c r="F183" i="5"/>
  <c r="R183" i="5" s="1"/>
  <c r="E183" i="5"/>
  <c r="D183" i="5"/>
  <c r="C183" i="5"/>
  <c r="P183" i="5" s="1"/>
  <c r="B183" i="5"/>
  <c r="A183" i="5"/>
  <c r="W182" i="5"/>
  <c r="U182" i="5"/>
  <c r="T182" i="5"/>
  <c r="N182" i="5"/>
  <c r="M182" i="5"/>
  <c r="L182" i="5"/>
  <c r="K182" i="5"/>
  <c r="J182" i="5"/>
  <c r="I182" i="5"/>
  <c r="V182" i="5" s="1"/>
  <c r="H182" i="5"/>
  <c r="G182" i="5"/>
  <c r="F182" i="5"/>
  <c r="R182" i="5" s="1"/>
  <c r="S182" i="5" s="1"/>
  <c r="E182" i="5"/>
  <c r="D182" i="5"/>
  <c r="C182" i="5"/>
  <c r="B182" i="5"/>
  <c r="A182" i="5"/>
  <c r="T181" i="5"/>
  <c r="R181" i="5"/>
  <c r="S181" i="5" s="1"/>
  <c r="Q181" i="5"/>
  <c r="O181" i="5"/>
  <c r="M181" i="5"/>
  <c r="L181" i="5"/>
  <c r="K181" i="5"/>
  <c r="J181" i="5"/>
  <c r="W181" i="5" s="1"/>
  <c r="I181" i="5"/>
  <c r="V181" i="5" s="1"/>
  <c r="H181" i="5"/>
  <c r="G181" i="5"/>
  <c r="F181" i="5"/>
  <c r="E181" i="5"/>
  <c r="D181" i="5"/>
  <c r="C181" i="5"/>
  <c r="P181" i="5" s="1"/>
  <c r="B181" i="5"/>
  <c r="U181" i="5" s="1"/>
  <c r="A181" i="5"/>
  <c r="V180" i="5"/>
  <c r="T180" i="5"/>
  <c r="Q180" i="5"/>
  <c r="O180" i="5"/>
  <c r="N180" i="5"/>
  <c r="M180" i="5"/>
  <c r="L180" i="5"/>
  <c r="K180" i="5"/>
  <c r="J180" i="5"/>
  <c r="W180" i="5" s="1"/>
  <c r="I180" i="5"/>
  <c r="H180" i="5"/>
  <c r="G180" i="5"/>
  <c r="F180" i="5"/>
  <c r="R180" i="5" s="1"/>
  <c r="S180" i="5" s="1"/>
  <c r="E180" i="5"/>
  <c r="D180" i="5"/>
  <c r="C180" i="5"/>
  <c r="P180" i="5" s="1"/>
  <c r="B180" i="5"/>
  <c r="U180" i="5" s="1"/>
  <c r="A180" i="5"/>
  <c r="W179" i="5"/>
  <c r="V179" i="5"/>
  <c r="U179" i="5"/>
  <c r="T179" i="5"/>
  <c r="Q179" i="5"/>
  <c r="N179" i="5"/>
  <c r="M179" i="5"/>
  <c r="L179" i="5"/>
  <c r="K179" i="5"/>
  <c r="J179" i="5"/>
  <c r="I179" i="5"/>
  <c r="H179" i="5"/>
  <c r="G179" i="5"/>
  <c r="F179" i="5"/>
  <c r="R179" i="5" s="1"/>
  <c r="E179" i="5"/>
  <c r="D179" i="5"/>
  <c r="C179" i="5"/>
  <c r="P179" i="5" s="1"/>
  <c r="B179" i="5"/>
  <c r="A179" i="5"/>
  <c r="W178" i="5"/>
  <c r="T178" i="5"/>
  <c r="M178" i="5"/>
  <c r="L178" i="5"/>
  <c r="K178" i="5"/>
  <c r="J178" i="5"/>
  <c r="I178" i="5"/>
  <c r="V178" i="5" s="1"/>
  <c r="H178" i="5"/>
  <c r="G178" i="5"/>
  <c r="F178" i="5"/>
  <c r="R178" i="5" s="1"/>
  <c r="S178" i="5" s="1"/>
  <c r="E178" i="5"/>
  <c r="D178" i="5"/>
  <c r="C178" i="5"/>
  <c r="B178" i="5"/>
  <c r="U178" i="5" s="1"/>
  <c r="A178" i="5"/>
  <c r="S177" i="5"/>
  <c r="R177" i="5"/>
  <c r="M177" i="5"/>
  <c r="L177" i="5"/>
  <c r="K177" i="5"/>
  <c r="J177" i="5"/>
  <c r="W177" i="5" s="1"/>
  <c r="I177" i="5"/>
  <c r="V177" i="5" s="1"/>
  <c r="H177" i="5"/>
  <c r="T177" i="5" s="1"/>
  <c r="G177" i="5"/>
  <c r="F177" i="5"/>
  <c r="E177" i="5"/>
  <c r="D177" i="5"/>
  <c r="C177" i="5"/>
  <c r="B177" i="5"/>
  <c r="U177" i="5" s="1"/>
  <c r="A177" i="5"/>
  <c r="R176" i="5"/>
  <c r="S176" i="5" s="1"/>
  <c r="Q176" i="5"/>
  <c r="P176" i="5"/>
  <c r="M176" i="5"/>
  <c r="L176" i="5"/>
  <c r="K176" i="5"/>
  <c r="J176" i="5"/>
  <c r="W176" i="5" s="1"/>
  <c r="I176" i="5"/>
  <c r="V176" i="5" s="1"/>
  <c r="H176" i="5"/>
  <c r="T176" i="5" s="1"/>
  <c r="G176" i="5"/>
  <c r="F176" i="5"/>
  <c r="E176" i="5"/>
  <c r="D176" i="5"/>
  <c r="C176" i="5"/>
  <c r="B176" i="5"/>
  <c r="U176" i="5" s="1"/>
  <c r="A176" i="5"/>
  <c r="S175" i="5"/>
  <c r="R175" i="5"/>
  <c r="Q175" i="5"/>
  <c r="P175" i="5"/>
  <c r="M175" i="5"/>
  <c r="L175" i="5"/>
  <c r="K175" i="5"/>
  <c r="J175" i="5"/>
  <c r="W175" i="5" s="1"/>
  <c r="I175" i="5"/>
  <c r="V175" i="5" s="1"/>
  <c r="H175" i="5"/>
  <c r="T175" i="5" s="1"/>
  <c r="G175" i="5"/>
  <c r="F175" i="5"/>
  <c r="E175" i="5"/>
  <c r="D175" i="5"/>
  <c r="C175" i="5"/>
  <c r="B175" i="5"/>
  <c r="U175" i="5" s="1"/>
  <c r="A175" i="5"/>
  <c r="R174" i="5"/>
  <c r="S174" i="5" s="1"/>
  <c r="Q174" i="5"/>
  <c r="M174" i="5"/>
  <c r="L174" i="5"/>
  <c r="K174" i="5"/>
  <c r="J174" i="5"/>
  <c r="W174" i="5" s="1"/>
  <c r="I174" i="5"/>
  <c r="V174" i="5" s="1"/>
  <c r="H174" i="5"/>
  <c r="T174" i="5" s="1"/>
  <c r="G174" i="5"/>
  <c r="F174" i="5"/>
  <c r="E174" i="5"/>
  <c r="D174" i="5"/>
  <c r="C174" i="5"/>
  <c r="P174" i="5" s="1"/>
  <c r="B174" i="5"/>
  <c r="U174" i="5" s="1"/>
  <c r="A174" i="5"/>
  <c r="R173" i="5"/>
  <c r="S173" i="5" s="1"/>
  <c r="Q173" i="5"/>
  <c r="P173" i="5"/>
  <c r="M173" i="5"/>
  <c r="L173" i="5"/>
  <c r="K173" i="5"/>
  <c r="J173" i="5"/>
  <c r="W173" i="5" s="1"/>
  <c r="I173" i="5"/>
  <c r="V173" i="5" s="1"/>
  <c r="H173" i="5"/>
  <c r="T173" i="5" s="1"/>
  <c r="G173" i="5"/>
  <c r="F173" i="5"/>
  <c r="E173" i="5"/>
  <c r="D173" i="5"/>
  <c r="C173" i="5"/>
  <c r="B173" i="5"/>
  <c r="U173" i="5" s="1"/>
  <c r="A173" i="5"/>
  <c r="U172" i="5"/>
  <c r="R172" i="5"/>
  <c r="S172" i="5" s="1"/>
  <c r="M172" i="5"/>
  <c r="L172" i="5"/>
  <c r="K172" i="5"/>
  <c r="J172" i="5"/>
  <c r="W172" i="5" s="1"/>
  <c r="I172" i="5"/>
  <c r="V172" i="5" s="1"/>
  <c r="H172" i="5"/>
  <c r="T172" i="5" s="1"/>
  <c r="G172" i="5"/>
  <c r="F172" i="5"/>
  <c r="E172" i="5"/>
  <c r="D172" i="5"/>
  <c r="C172" i="5"/>
  <c r="B172" i="5"/>
  <c r="A172" i="5"/>
  <c r="R171" i="5"/>
  <c r="S171" i="5" s="1"/>
  <c r="P171" i="5"/>
  <c r="M171" i="5"/>
  <c r="L171" i="5"/>
  <c r="K171" i="5"/>
  <c r="J171" i="5"/>
  <c r="W171" i="5" s="1"/>
  <c r="I171" i="5"/>
  <c r="V171" i="5" s="1"/>
  <c r="H171" i="5"/>
  <c r="T171" i="5" s="1"/>
  <c r="G171" i="5"/>
  <c r="F171" i="5"/>
  <c r="E171" i="5"/>
  <c r="D171" i="5"/>
  <c r="C171" i="5"/>
  <c r="Q171" i="5" s="1"/>
  <c r="B171" i="5"/>
  <c r="U171" i="5" s="1"/>
  <c r="A171" i="5"/>
  <c r="S170" i="5"/>
  <c r="R170" i="5"/>
  <c r="M170" i="5"/>
  <c r="L170" i="5"/>
  <c r="K170" i="5"/>
  <c r="J170" i="5"/>
  <c r="W170" i="5" s="1"/>
  <c r="I170" i="5"/>
  <c r="V170" i="5" s="1"/>
  <c r="H170" i="5"/>
  <c r="T170" i="5" s="1"/>
  <c r="G170" i="5"/>
  <c r="F170" i="5"/>
  <c r="E170" i="5"/>
  <c r="D170" i="5"/>
  <c r="C170" i="5"/>
  <c r="B170" i="5"/>
  <c r="U170" i="5" s="1"/>
  <c r="A170" i="5"/>
  <c r="R169" i="5"/>
  <c r="S169" i="5" s="1"/>
  <c r="M169" i="5"/>
  <c r="L169" i="5"/>
  <c r="K169" i="5"/>
  <c r="J169" i="5"/>
  <c r="W169" i="5" s="1"/>
  <c r="I169" i="5"/>
  <c r="V169" i="5" s="1"/>
  <c r="H169" i="5"/>
  <c r="T169" i="5" s="1"/>
  <c r="G169" i="5"/>
  <c r="F169" i="5"/>
  <c r="E169" i="5"/>
  <c r="D169" i="5"/>
  <c r="C169" i="5"/>
  <c r="B169" i="5"/>
  <c r="U169" i="5" s="1"/>
  <c r="A169" i="5"/>
  <c r="R168" i="5"/>
  <c r="S168" i="5" s="1"/>
  <c r="Q168" i="5"/>
  <c r="P168" i="5"/>
  <c r="M168" i="5"/>
  <c r="L168" i="5"/>
  <c r="K168" i="5"/>
  <c r="J168" i="5"/>
  <c r="W168" i="5" s="1"/>
  <c r="I168" i="5"/>
  <c r="V168" i="5" s="1"/>
  <c r="H168" i="5"/>
  <c r="T168" i="5" s="1"/>
  <c r="G168" i="5"/>
  <c r="F168" i="5"/>
  <c r="E168" i="5"/>
  <c r="D168" i="5"/>
  <c r="C168" i="5"/>
  <c r="B168" i="5"/>
  <c r="U168" i="5" s="1"/>
  <c r="A168" i="5"/>
  <c r="S167" i="5"/>
  <c r="R167" i="5"/>
  <c r="Q167" i="5"/>
  <c r="P167" i="5"/>
  <c r="M167" i="5"/>
  <c r="L167" i="5"/>
  <c r="K167" i="5"/>
  <c r="J167" i="5"/>
  <c r="W167" i="5" s="1"/>
  <c r="I167" i="5"/>
  <c r="V167" i="5" s="1"/>
  <c r="H167" i="5"/>
  <c r="T167" i="5" s="1"/>
  <c r="G167" i="5"/>
  <c r="F167" i="5"/>
  <c r="E167" i="5"/>
  <c r="D167" i="5"/>
  <c r="C167" i="5"/>
  <c r="B167" i="5"/>
  <c r="U167" i="5" s="1"/>
  <c r="A167" i="5"/>
  <c r="R166" i="5"/>
  <c r="S166" i="5" s="1"/>
  <c r="Q166" i="5"/>
  <c r="M166" i="5"/>
  <c r="L166" i="5"/>
  <c r="K166" i="5"/>
  <c r="J166" i="5"/>
  <c r="W166" i="5" s="1"/>
  <c r="I166" i="5"/>
  <c r="V166" i="5" s="1"/>
  <c r="H166" i="5"/>
  <c r="T166" i="5" s="1"/>
  <c r="G166" i="5"/>
  <c r="F166" i="5"/>
  <c r="E166" i="5"/>
  <c r="D166" i="5"/>
  <c r="C166" i="5"/>
  <c r="P166" i="5" s="1"/>
  <c r="B166" i="5"/>
  <c r="U166" i="5" s="1"/>
  <c r="A166" i="5"/>
  <c r="U165" i="5"/>
  <c r="R165" i="5"/>
  <c r="S165" i="5" s="1"/>
  <c r="Q165" i="5"/>
  <c r="P165" i="5"/>
  <c r="M165" i="5"/>
  <c r="L165" i="5"/>
  <c r="K165" i="5"/>
  <c r="J165" i="5"/>
  <c r="W165" i="5" s="1"/>
  <c r="I165" i="5"/>
  <c r="V165" i="5" s="1"/>
  <c r="H165" i="5"/>
  <c r="T165" i="5" s="1"/>
  <c r="G165" i="5"/>
  <c r="F165" i="5"/>
  <c r="E165" i="5"/>
  <c r="D165" i="5"/>
  <c r="C165" i="5"/>
  <c r="B165" i="5"/>
  <c r="A165" i="5"/>
  <c r="S164" i="5"/>
  <c r="R164" i="5"/>
  <c r="M164" i="5"/>
  <c r="L164" i="5"/>
  <c r="K164" i="5"/>
  <c r="J164" i="5"/>
  <c r="W164" i="5" s="1"/>
  <c r="I164" i="5"/>
  <c r="V164" i="5" s="1"/>
  <c r="H164" i="5"/>
  <c r="T164" i="5" s="1"/>
  <c r="G164" i="5"/>
  <c r="F164" i="5"/>
  <c r="E164" i="5"/>
  <c r="D164" i="5"/>
  <c r="C164" i="5"/>
  <c r="B164" i="5"/>
  <c r="U164" i="5" s="1"/>
  <c r="A164" i="5"/>
  <c r="R163" i="5"/>
  <c r="S163" i="5" s="1"/>
  <c r="P163" i="5"/>
  <c r="M163" i="5"/>
  <c r="L163" i="5"/>
  <c r="K163" i="5"/>
  <c r="J163" i="5"/>
  <c r="W163" i="5" s="1"/>
  <c r="I163" i="5"/>
  <c r="V163" i="5" s="1"/>
  <c r="H163" i="5"/>
  <c r="T163" i="5" s="1"/>
  <c r="G163" i="5"/>
  <c r="F163" i="5"/>
  <c r="E163" i="5"/>
  <c r="D163" i="5"/>
  <c r="C163" i="5"/>
  <c r="Q163" i="5" s="1"/>
  <c r="B163" i="5"/>
  <c r="U163" i="5" s="1"/>
  <c r="A163" i="5"/>
  <c r="R162" i="5"/>
  <c r="S162" i="5" s="1"/>
  <c r="M162" i="5"/>
  <c r="L162" i="5"/>
  <c r="K162" i="5"/>
  <c r="J162" i="5"/>
  <c r="W162" i="5" s="1"/>
  <c r="I162" i="5"/>
  <c r="V162" i="5" s="1"/>
  <c r="H162" i="5"/>
  <c r="T162" i="5" s="1"/>
  <c r="G162" i="5"/>
  <c r="F162" i="5"/>
  <c r="E162" i="5"/>
  <c r="D162" i="5"/>
  <c r="C162" i="5"/>
  <c r="B162" i="5"/>
  <c r="U162" i="5" s="1"/>
  <c r="A162" i="5"/>
  <c r="X162" i="5" s="1"/>
  <c r="R161" i="5"/>
  <c r="S161" i="5" s="1"/>
  <c r="M161" i="5"/>
  <c r="L161" i="5"/>
  <c r="K161" i="5"/>
  <c r="J161" i="5"/>
  <c r="W161" i="5" s="1"/>
  <c r="I161" i="5"/>
  <c r="V161" i="5" s="1"/>
  <c r="H161" i="5"/>
  <c r="T161" i="5" s="1"/>
  <c r="G161" i="5"/>
  <c r="F161" i="5"/>
  <c r="E161" i="5"/>
  <c r="D161" i="5"/>
  <c r="C161" i="5"/>
  <c r="B161" i="5"/>
  <c r="U161" i="5" s="1"/>
  <c r="A161" i="5"/>
  <c r="R160" i="5"/>
  <c r="S160" i="5" s="1"/>
  <c r="Q160" i="5"/>
  <c r="P160" i="5"/>
  <c r="M160" i="5"/>
  <c r="L160" i="5"/>
  <c r="K160" i="5"/>
  <c r="J160" i="5"/>
  <c r="W160" i="5" s="1"/>
  <c r="I160" i="5"/>
  <c r="V160" i="5" s="1"/>
  <c r="H160" i="5"/>
  <c r="T160" i="5" s="1"/>
  <c r="G160" i="5"/>
  <c r="F160" i="5"/>
  <c r="E160" i="5"/>
  <c r="D160" i="5"/>
  <c r="C160" i="5"/>
  <c r="B160" i="5"/>
  <c r="U160" i="5" s="1"/>
  <c r="A160" i="5"/>
  <c r="R159" i="5"/>
  <c r="S159" i="5" s="1"/>
  <c r="Q159" i="5"/>
  <c r="P159" i="5"/>
  <c r="M159" i="5"/>
  <c r="L159" i="5"/>
  <c r="K159" i="5"/>
  <c r="J159" i="5"/>
  <c r="W159" i="5" s="1"/>
  <c r="I159" i="5"/>
  <c r="V159" i="5" s="1"/>
  <c r="H159" i="5"/>
  <c r="T159" i="5" s="1"/>
  <c r="G159" i="5"/>
  <c r="F159" i="5"/>
  <c r="E159" i="5"/>
  <c r="D159" i="5"/>
  <c r="C159" i="5"/>
  <c r="B159" i="5"/>
  <c r="U159" i="5" s="1"/>
  <c r="A159" i="5"/>
  <c r="S158" i="5"/>
  <c r="R158" i="5"/>
  <c r="Q158" i="5"/>
  <c r="M158" i="5"/>
  <c r="L158" i="5"/>
  <c r="K158" i="5"/>
  <c r="J158" i="5"/>
  <c r="W158" i="5" s="1"/>
  <c r="I158" i="5"/>
  <c r="V158" i="5" s="1"/>
  <c r="H158" i="5"/>
  <c r="T158" i="5" s="1"/>
  <c r="G158" i="5"/>
  <c r="F158" i="5"/>
  <c r="E158" i="5"/>
  <c r="D158" i="5"/>
  <c r="C158" i="5"/>
  <c r="P158" i="5" s="1"/>
  <c r="B158" i="5"/>
  <c r="U158" i="5" s="1"/>
  <c r="A158" i="5"/>
  <c r="R157" i="5"/>
  <c r="S157" i="5" s="1"/>
  <c r="Q157" i="5"/>
  <c r="P157" i="5"/>
  <c r="M157" i="5"/>
  <c r="L157" i="5"/>
  <c r="K157" i="5"/>
  <c r="J157" i="5"/>
  <c r="W157" i="5" s="1"/>
  <c r="I157" i="5"/>
  <c r="V157" i="5" s="1"/>
  <c r="H157" i="5"/>
  <c r="T157" i="5" s="1"/>
  <c r="G157" i="5"/>
  <c r="F157" i="5"/>
  <c r="E157" i="5"/>
  <c r="D157" i="5"/>
  <c r="C157" i="5"/>
  <c r="B157" i="5"/>
  <c r="U157" i="5" s="1"/>
  <c r="A157" i="5"/>
  <c r="U156" i="5"/>
  <c r="R156" i="5"/>
  <c r="S156" i="5" s="1"/>
  <c r="M156" i="5"/>
  <c r="L156" i="5"/>
  <c r="K156" i="5"/>
  <c r="J156" i="5"/>
  <c r="W156" i="5" s="1"/>
  <c r="I156" i="5"/>
  <c r="V156" i="5" s="1"/>
  <c r="H156" i="5"/>
  <c r="T156" i="5" s="1"/>
  <c r="G156" i="5"/>
  <c r="F156" i="5"/>
  <c r="E156" i="5"/>
  <c r="D156" i="5"/>
  <c r="C156" i="5"/>
  <c r="B156" i="5"/>
  <c r="A156" i="5"/>
  <c r="R155" i="5"/>
  <c r="S155" i="5" s="1"/>
  <c r="P155" i="5"/>
  <c r="M155" i="5"/>
  <c r="L155" i="5"/>
  <c r="K155" i="5"/>
  <c r="J155" i="5"/>
  <c r="W155" i="5" s="1"/>
  <c r="I155" i="5"/>
  <c r="V155" i="5" s="1"/>
  <c r="H155" i="5"/>
  <c r="T155" i="5" s="1"/>
  <c r="G155" i="5"/>
  <c r="F155" i="5"/>
  <c r="E155" i="5"/>
  <c r="D155" i="5"/>
  <c r="C155" i="5"/>
  <c r="Q155" i="5" s="1"/>
  <c r="B155" i="5"/>
  <c r="U155" i="5" s="1"/>
  <c r="A155" i="5"/>
  <c r="R154" i="5"/>
  <c r="S154" i="5" s="1"/>
  <c r="M154" i="5"/>
  <c r="L154" i="5"/>
  <c r="K154" i="5"/>
  <c r="J154" i="5"/>
  <c r="W154" i="5" s="1"/>
  <c r="I154" i="5"/>
  <c r="V154" i="5" s="1"/>
  <c r="H154" i="5"/>
  <c r="T154" i="5" s="1"/>
  <c r="G154" i="5"/>
  <c r="F154" i="5"/>
  <c r="E154" i="5"/>
  <c r="D154" i="5"/>
  <c r="C154" i="5"/>
  <c r="B154" i="5"/>
  <c r="U154" i="5" s="1"/>
  <c r="A154" i="5"/>
  <c r="R153" i="5"/>
  <c r="S153" i="5" s="1"/>
  <c r="M153" i="5"/>
  <c r="L153" i="5"/>
  <c r="K153" i="5"/>
  <c r="J153" i="5"/>
  <c r="W153" i="5" s="1"/>
  <c r="I153" i="5"/>
  <c r="V153" i="5" s="1"/>
  <c r="H153" i="5"/>
  <c r="T153" i="5" s="1"/>
  <c r="G153" i="5"/>
  <c r="F153" i="5"/>
  <c r="E153" i="5"/>
  <c r="D153" i="5"/>
  <c r="C153" i="5"/>
  <c r="B153" i="5"/>
  <c r="U153" i="5" s="1"/>
  <c r="A153" i="5"/>
  <c r="S152" i="5"/>
  <c r="R152" i="5"/>
  <c r="Q152" i="5"/>
  <c r="P152" i="5"/>
  <c r="M152" i="5"/>
  <c r="L152" i="5"/>
  <c r="K152" i="5"/>
  <c r="J152" i="5"/>
  <c r="W152" i="5" s="1"/>
  <c r="I152" i="5"/>
  <c r="V152" i="5" s="1"/>
  <c r="H152" i="5"/>
  <c r="T152" i="5" s="1"/>
  <c r="G152" i="5"/>
  <c r="F152" i="5"/>
  <c r="E152" i="5"/>
  <c r="D152" i="5"/>
  <c r="C152" i="5"/>
  <c r="B152" i="5"/>
  <c r="U152" i="5" s="1"/>
  <c r="A152" i="5"/>
  <c r="R151" i="5"/>
  <c r="S151" i="5" s="1"/>
  <c r="Q151" i="5"/>
  <c r="P151" i="5"/>
  <c r="M151" i="5"/>
  <c r="L151" i="5"/>
  <c r="K151" i="5"/>
  <c r="J151" i="5"/>
  <c r="W151" i="5" s="1"/>
  <c r="I151" i="5"/>
  <c r="V151" i="5" s="1"/>
  <c r="H151" i="5"/>
  <c r="T151" i="5" s="1"/>
  <c r="G151" i="5"/>
  <c r="F151" i="5"/>
  <c r="E151" i="5"/>
  <c r="D151" i="5"/>
  <c r="C151" i="5"/>
  <c r="B151" i="5"/>
  <c r="U151" i="5" s="1"/>
  <c r="A151" i="5"/>
  <c r="R150" i="5"/>
  <c r="S150" i="5" s="1"/>
  <c r="Q150" i="5"/>
  <c r="M150" i="5"/>
  <c r="L150" i="5"/>
  <c r="K150" i="5"/>
  <c r="J150" i="5"/>
  <c r="W150" i="5" s="1"/>
  <c r="I150" i="5"/>
  <c r="V150" i="5" s="1"/>
  <c r="H150" i="5"/>
  <c r="T150" i="5" s="1"/>
  <c r="G150" i="5"/>
  <c r="F150" i="5"/>
  <c r="E150" i="5"/>
  <c r="D150" i="5"/>
  <c r="C150" i="5"/>
  <c r="P150" i="5" s="1"/>
  <c r="B150" i="5"/>
  <c r="U150" i="5" s="1"/>
  <c r="A150" i="5"/>
  <c r="U149" i="5"/>
  <c r="R149" i="5"/>
  <c r="S149" i="5" s="1"/>
  <c r="Q149" i="5"/>
  <c r="P149" i="5"/>
  <c r="M149" i="5"/>
  <c r="L149" i="5"/>
  <c r="K149" i="5"/>
  <c r="J149" i="5"/>
  <c r="W149" i="5" s="1"/>
  <c r="I149" i="5"/>
  <c r="V149" i="5" s="1"/>
  <c r="H149" i="5"/>
  <c r="T149" i="5" s="1"/>
  <c r="G149" i="5"/>
  <c r="F149" i="5"/>
  <c r="E149" i="5"/>
  <c r="D149" i="5"/>
  <c r="C149" i="5"/>
  <c r="B149" i="5"/>
  <c r="A149" i="5"/>
  <c r="R148" i="5"/>
  <c r="S148" i="5" s="1"/>
  <c r="M148" i="5"/>
  <c r="L148" i="5"/>
  <c r="K148" i="5"/>
  <c r="J148" i="5"/>
  <c r="W148" i="5" s="1"/>
  <c r="I148" i="5"/>
  <c r="V148" i="5" s="1"/>
  <c r="H148" i="5"/>
  <c r="T148" i="5" s="1"/>
  <c r="G148" i="5"/>
  <c r="F148" i="5"/>
  <c r="E148" i="5"/>
  <c r="D148" i="5"/>
  <c r="C148" i="5"/>
  <c r="B148" i="5"/>
  <c r="U148" i="5" s="1"/>
  <c r="A148" i="5"/>
  <c r="R147" i="5"/>
  <c r="S147" i="5" s="1"/>
  <c r="P147" i="5"/>
  <c r="M147" i="5"/>
  <c r="L147" i="5"/>
  <c r="K147" i="5"/>
  <c r="J147" i="5"/>
  <c r="W147" i="5" s="1"/>
  <c r="I147" i="5"/>
  <c r="V147" i="5" s="1"/>
  <c r="H147" i="5"/>
  <c r="T147" i="5" s="1"/>
  <c r="G147" i="5"/>
  <c r="F147" i="5"/>
  <c r="E147" i="5"/>
  <c r="D147" i="5"/>
  <c r="C147" i="5"/>
  <c r="Q147" i="5" s="1"/>
  <c r="B147" i="5"/>
  <c r="U147" i="5" s="1"/>
  <c r="A147" i="5"/>
  <c r="R146" i="5"/>
  <c r="S146" i="5" s="1"/>
  <c r="M146" i="5"/>
  <c r="L146" i="5"/>
  <c r="K146" i="5"/>
  <c r="J146" i="5"/>
  <c r="W146" i="5" s="1"/>
  <c r="I146" i="5"/>
  <c r="V146" i="5" s="1"/>
  <c r="H146" i="5"/>
  <c r="T146" i="5" s="1"/>
  <c r="G146" i="5"/>
  <c r="F146" i="5"/>
  <c r="E146" i="5"/>
  <c r="D146" i="5"/>
  <c r="C146" i="5"/>
  <c r="B146" i="5"/>
  <c r="U146" i="5" s="1"/>
  <c r="A146" i="5"/>
  <c r="X146" i="5" s="1"/>
  <c r="R145" i="5"/>
  <c r="S145" i="5" s="1"/>
  <c r="P145" i="5"/>
  <c r="M145" i="5"/>
  <c r="L145" i="5"/>
  <c r="K145" i="5"/>
  <c r="J145" i="5"/>
  <c r="W145" i="5" s="1"/>
  <c r="I145" i="5"/>
  <c r="V145" i="5" s="1"/>
  <c r="H145" i="5"/>
  <c r="T145" i="5" s="1"/>
  <c r="G145" i="5"/>
  <c r="F145" i="5"/>
  <c r="E145" i="5"/>
  <c r="D145" i="5"/>
  <c r="C145" i="5"/>
  <c r="B145" i="5"/>
  <c r="U145" i="5" s="1"/>
  <c r="A145" i="5"/>
  <c r="R144" i="5"/>
  <c r="S144" i="5" s="1"/>
  <c r="Q144" i="5"/>
  <c r="P144" i="5"/>
  <c r="M144" i="5"/>
  <c r="L144" i="5"/>
  <c r="K144" i="5"/>
  <c r="J144" i="5"/>
  <c r="W144" i="5" s="1"/>
  <c r="I144" i="5"/>
  <c r="V144" i="5" s="1"/>
  <c r="H144" i="5"/>
  <c r="T144" i="5" s="1"/>
  <c r="G144" i="5"/>
  <c r="F144" i="5"/>
  <c r="E144" i="5"/>
  <c r="D144" i="5"/>
  <c r="C144" i="5"/>
  <c r="B144" i="5"/>
  <c r="U144" i="5" s="1"/>
  <c r="A144" i="5"/>
  <c r="U143" i="5"/>
  <c r="R143" i="5"/>
  <c r="S143" i="5" s="1"/>
  <c r="P143" i="5"/>
  <c r="M143" i="5"/>
  <c r="L143" i="5"/>
  <c r="K143" i="5"/>
  <c r="J143" i="5"/>
  <c r="W143" i="5" s="1"/>
  <c r="I143" i="5"/>
  <c r="V143" i="5" s="1"/>
  <c r="H143" i="5"/>
  <c r="T143" i="5" s="1"/>
  <c r="G143" i="5"/>
  <c r="F143" i="5"/>
  <c r="E143" i="5"/>
  <c r="D143" i="5"/>
  <c r="C143" i="5"/>
  <c r="B143" i="5"/>
  <c r="A143" i="5"/>
  <c r="T142" i="5"/>
  <c r="R142" i="5"/>
  <c r="S142" i="5" s="1"/>
  <c r="Q142" i="5"/>
  <c r="P142" i="5"/>
  <c r="M142" i="5"/>
  <c r="L142" i="5"/>
  <c r="K142" i="5"/>
  <c r="J142" i="5"/>
  <c r="W142" i="5" s="1"/>
  <c r="I142" i="5"/>
  <c r="V142" i="5" s="1"/>
  <c r="H142" i="5"/>
  <c r="G142" i="5"/>
  <c r="F142" i="5"/>
  <c r="E142" i="5"/>
  <c r="D142" i="5"/>
  <c r="C142" i="5"/>
  <c r="B142" i="5"/>
  <c r="U142" i="5" s="1"/>
  <c r="A142" i="5"/>
  <c r="U141" i="5"/>
  <c r="R141" i="5"/>
  <c r="S141" i="5" s="1"/>
  <c r="M141" i="5"/>
  <c r="L141" i="5"/>
  <c r="K141" i="5"/>
  <c r="J141" i="5"/>
  <c r="W141" i="5" s="1"/>
  <c r="I141" i="5"/>
  <c r="V141" i="5" s="1"/>
  <c r="H141" i="5"/>
  <c r="T141" i="5" s="1"/>
  <c r="G141" i="5"/>
  <c r="F141" i="5"/>
  <c r="E141" i="5"/>
  <c r="D141" i="5"/>
  <c r="C141" i="5"/>
  <c r="B141" i="5"/>
  <c r="A141" i="5"/>
  <c r="T140" i="5"/>
  <c r="R140" i="5"/>
  <c r="S140" i="5" s="1"/>
  <c r="Q140" i="5"/>
  <c r="P140" i="5"/>
  <c r="M140" i="5"/>
  <c r="L140" i="5"/>
  <c r="K140" i="5"/>
  <c r="J140" i="5"/>
  <c r="W140" i="5" s="1"/>
  <c r="I140" i="5"/>
  <c r="V140" i="5" s="1"/>
  <c r="H140" i="5"/>
  <c r="G140" i="5"/>
  <c r="F140" i="5"/>
  <c r="E140" i="5"/>
  <c r="D140" i="5"/>
  <c r="C140" i="5"/>
  <c r="B140" i="5"/>
  <c r="U140" i="5" s="1"/>
  <c r="A140" i="5"/>
  <c r="U139" i="5"/>
  <c r="R139" i="5"/>
  <c r="S139" i="5" s="1"/>
  <c r="M139" i="5"/>
  <c r="L139" i="5"/>
  <c r="K139" i="5"/>
  <c r="J139" i="5"/>
  <c r="W139" i="5" s="1"/>
  <c r="I139" i="5"/>
  <c r="V139" i="5" s="1"/>
  <c r="H139" i="5"/>
  <c r="T139" i="5" s="1"/>
  <c r="G139" i="5"/>
  <c r="F139" i="5"/>
  <c r="E139" i="5"/>
  <c r="D139" i="5"/>
  <c r="C139" i="5"/>
  <c r="B139" i="5"/>
  <c r="A139" i="5"/>
  <c r="R138" i="5"/>
  <c r="S138" i="5" s="1"/>
  <c r="Q138" i="5"/>
  <c r="P138" i="5"/>
  <c r="M138" i="5"/>
  <c r="L138" i="5"/>
  <c r="K138" i="5"/>
  <c r="J138" i="5"/>
  <c r="W138" i="5" s="1"/>
  <c r="I138" i="5"/>
  <c r="V138" i="5" s="1"/>
  <c r="H138" i="5"/>
  <c r="T138" i="5" s="1"/>
  <c r="G138" i="5"/>
  <c r="F138" i="5"/>
  <c r="E138" i="5"/>
  <c r="D138" i="5"/>
  <c r="C138" i="5"/>
  <c r="B138" i="5"/>
  <c r="U138" i="5" s="1"/>
  <c r="A138" i="5"/>
  <c r="U137" i="5"/>
  <c r="R137" i="5"/>
  <c r="S137" i="5" s="1"/>
  <c r="M137" i="5"/>
  <c r="L137" i="5"/>
  <c r="K137" i="5"/>
  <c r="J137" i="5"/>
  <c r="W137" i="5" s="1"/>
  <c r="I137" i="5"/>
  <c r="V137" i="5" s="1"/>
  <c r="H137" i="5"/>
  <c r="T137" i="5" s="1"/>
  <c r="G137" i="5"/>
  <c r="F137" i="5"/>
  <c r="E137" i="5"/>
  <c r="D137" i="5"/>
  <c r="C137" i="5"/>
  <c r="B137" i="5"/>
  <c r="A137" i="5"/>
  <c r="R136" i="5"/>
  <c r="S136" i="5" s="1"/>
  <c r="Q136" i="5"/>
  <c r="P136" i="5"/>
  <c r="M136" i="5"/>
  <c r="L136" i="5"/>
  <c r="K136" i="5"/>
  <c r="J136" i="5"/>
  <c r="W136" i="5" s="1"/>
  <c r="I136" i="5"/>
  <c r="V136" i="5" s="1"/>
  <c r="H136" i="5"/>
  <c r="T136" i="5" s="1"/>
  <c r="G136" i="5"/>
  <c r="F136" i="5"/>
  <c r="E136" i="5"/>
  <c r="D136" i="5"/>
  <c r="C136" i="5"/>
  <c r="B136" i="5"/>
  <c r="U136" i="5" s="1"/>
  <c r="A136" i="5"/>
  <c r="U135" i="5"/>
  <c r="R135" i="5"/>
  <c r="S135" i="5" s="1"/>
  <c r="P135" i="5"/>
  <c r="M135" i="5"/>
  <c r="L135" i="5"/>
  <c r="K135" i="5"/>
  <c r="J135" i="5"/>
  <c r="W135" i="5" s="1"/>
  <c r="I135" i="5"/>
  <c r="V135" i="5" s="1"/>
  <c r="H135" i="5"/>
  <c r="T135" i="5" s="1"/>
  <c r="G135" i="5"/>
  <c r="F135" i="5"/>
  <c r="E135" i="5"/>
  <c r="D135" i="5"/>
  <c r="C135" i="5"/>
  <c r="B135" i="5"/>
  <c r="A135" i="5"/>
  <c r="T134" i="5"/>
  <c r="R134" i="5"/>
  <c r="S134" i="5" s="1"/>
  <c r="Q134" i="5"/>
  <c r="P134" i="5"/>
  <c r="M134" i="5"/>
  <c r="L134" i="5"/>
  <c r="K134" i="5"/>
  <c r="J134" i="5"/>
  <c r="W134" i="5" s="1"/>
  <c r="I134" i="5"/>
  <c r="V134" i="5" s="1"/>
  <c r="H134" i="5"/>
  <c r="G134" i="5"/>
  <c r="F134" i="5"/>
  <c r="E134" i="5"/>
  <c r="D134" i="5"/>
  <c r="C134" i="5"/>
  <c r="B134" i="5"/>
  <c r="U134" i="5" s="1"/>
  <c r="A134" i="5"/>
  <c r="U133" i="5"/>
  <c r="R133" i="5"/>
  <c r="S133" i="5" s="1"/>
  <c r="M133" i="5"/>
  <c r="L133" i="5"/>
  <c r="K133" i="5"/>
  <c r="J133" i="5"/>
  <c r="W133" i="5" s="1"/>
  <c r="I133" i="5"/>
  <c r="V133" i="5" s="1"/>
  <c r="H133" i="5"/>
  <c r="T133" i="5" s="1"/>
  <c r="G133" i="5"/>
  <c r="F133" i="5"/>
  <c r="E133" i="5"/>
  <c r="D133" i="5"/>
  <c r="C133" i="5"/>
  <c r="B133" i="5"/>
  <c r="A133" i="5"/>
  <c r="T132" i="5"/>
  <c r="R132" i="5"/>
  <c r="S132" i="5" s="1"/>
  <c r="Q132" i="5"/>
  <c r="P132" i="5"/>
  <c r="M132" i="5"/>
  <c r="L132" i="5"/>
  <c r="K132" i="5"/>
  <c r="J132" i="5"/>
  <c r="W132" i="5" s="1"/>
  <c r="I132" i="5"/>
  <c r="V132" i="5" s="1"/>
  <c r="H132" i="5"/>
  <c r="G132" i="5"/>
  <c r="F132" i="5"/>
  <c r="E132" i="5"/>
  <c r="D132" i="5"/>
  <c r="C132" i="5"/>
  <c r="B132" i="5"/>
  <c r="U132" i="5" s="1"/>
  <c r="A132" i="5"/>
  <c r="U131" i="5"/>
  <c r="R131" i="5"/>
  <c r="S131" i="5" s="1"/>
  <c r="M131" i="5"/>
  <c r="L131" i="5"/>
  <c r="K131" i="5"/>
  <c r="J131" i="5"/>
  <c r="W131" i="5" s="1"/>
  <c r="I131" i="5"/>
  <c r="V131" i="5" s="1"/>
  <c r="H131" i="5"/>
  <c r="T131" i="5" s="1"/>
  <c r="G131" i="5"/>
  <c r="F131" i="5"/>
  <c r="E131" i="5"/>
  <c r="D131" i="5"/>
  <c r="C131" i="5"/>
  <c r="B131" i="5"/>
  <c r="A131" i="5"/>
  <c r="R130" i="5"/>
  <c r="S130" i="5" s="1"/>
  <c r="Q130" i="5"/>
  <c r="P130" i="5"/>
  <c r="M130" i="5"/>
  <c r="L130" i="5"/>
  <c r="K130" i="5"/>
  <c r="J130" i="5"/>
  <c r="W130" i="5" s="1"/>
  <c r="I130" i="5"/>
  <c r="V130" i="5" s="1"/>
  <c r="H130" i="5"/>
  <c r="T130" i="5" s="1"/>
  <c r="G130" i="5"/>
  <c r="F130" i="5"/>
  <c r="E130" i="5"/>
  <c r="D130" i="5"/>
  <c r="C130" i="5"/>
  <c r="B130" i="5"/>
  <c r="U130" i="5" s="1"/>
  <c r="A130" i="5"/>
  <c r="U129" i="5"/>
  <c r="R129" i="5"/>
  <c r="S129" i="5" s="1"/>
  <c r="M129" i="5"/>
  <c r="L129" i="5"/>
  <c r="K129" i="5"/>
  <c r="J129" i="5"/>
  <c r="W129" i="5" s="1"/>
  <c r="I129" i="5"/>
  <c r="V129" i="5" s="1"/>
  <c r="H129" i="5"/>
  <c r="T129" i="5" s="1"/>
  <c r="G129" i="5"/>
  <c r="F129" i="5"/>
  <c r="E129" i="5"/>
  <c r="D129" i="5"/>
  <c r="C129" i="5"/>
  <c r="B129" i="5"/>
  <c r="A129" i="5"/>
  <c r="R128" i="5"/>
  <c r="S128" i="5" s="1"/>
  <c r="Q128" i="5"/>
  <c r="P128" i="5"/>
  <c r="M128" i="5"/>
  <c r="L128" i="5"/>
  <c r="K128" i="5"/>
  <c r="J128" i="5"/>
  <c r="W128" i="5" s="1"/>
  <c r="I128" i="5"/>
  <c r="V128" i="5" s="1"/>
  <c r="H128" i="5"/>
  <c r="T128" i="5" s="1"/>
  <c r="G128" i="5"/>
  <c r="F128" i="5"/>
  <c r="E128" i="5"/>
  <c r="D128" i="5"/>
  <c r="C128" i="5"/>
  <c r="B128" i="5"/>
  <c r="U128" i="5" s="1"/>
  <c r="A128" i="5"/>
  <c r="U127" i="5"/>
  <c r="R127" i="5"/>
  <c r="S127" i="5" s="1"/>
  <c r="P127" i="5"/>
  <c r="M127" i="5"/>
  <c r="L127" i="5"/>
  <c r="K127" i="5"/>
  <c r="J127" i="5"/>
  <c r="W127" i="5" s="1"/>
  <c r="I127" i="5"/>
  <c r="V127" i="5" s="1"/>
  <c r="H127" i="5"/>
  <c r="T127" i="5" s="1"/>
  <c r="G127" i="5"/>
  <c r="F127" i="5"/>
  <c r="E127" i="5"/>
  <c r="D127" i="5"/>
  <c r="C127" i="5"/>
  <c r="B127" i="5"/>
  <c r="A127" i="5"/>
  <c r="T126" i="5"/>
  <c r="R126" i="5"/>
  <c r="S126" i="5" s="1"/>
  <c r="Q126" i="5"/>
  <c r="P126" i="5"/>
  <c r="M126" i="5"/>
  <c r="L126" i="5"/>
  <c r="K126" i="5"/>
  <c r="J126" i="5"/>
  <c r="W126" i="5" s="1"/>
  <c r="I126" i="5"/>
  <c r="V126" i="5" s="1"/>
  <c r="H126" i="5"/>
  <c r="G126" i="5"/>
  <c r="F126" i="5"/>
  <c r="E126" i="5"/>
  <c r="D126" i="5"/>
  <c r="C126" i="5"/>
  <c r="B126" i="5"/>
  <c r="U126" i="5" s="1"/>
  <c r="A126" i="5"/>
  <c r="U125" i="5"/>
  <c r="T125" i="5"/>
  <c r="R125" i="5"/>
  <c r="S125" i="5" s="1"/>
  <c r="P125" i="5"/>
  <c r="M125" i="5"/>
  <c r="L125" i="5"/>
  <c r="K125" i="5"/>
  <c r="J125" i="5"/>
  <c r="W125" i="5" s="1"/>
  <c r="I125" i="5"/>
  <c r="V125" i="5" s="1"/>
  <c r="H125" i="5"/>
  <c r="G125" i="5"/>
  <c r="F125" i="5"/>
  <c r="E125" i="5"/>
  <c r="D125" i="5"/>
  <c r="C125" i="5"/>
  <c r="O125" i="5" s="1"/>
  <c r="B125" i="5"/>
  <c r="A125" i="5"/>
  <c r="V124" i="5"/>
  <c r="T124" i="5"/>
  <c r="S124" i="5"/>
  <c r="R124" i="5"/>
  <c r="M124" i="5"/>
  <c r="L124" i="5"/>
  <c r="K124" i="5"/>
  <c r="J124" i="5"/>
  <c r="W124" i="5" s="1"/>
  <c r="I124" i="5"/>
  <c r="H124" i="5"/>
  <c r="G124" i="5"/>
  <c r="F124" i="5"/>
  <c r="E124" i="5"/>
  <c r="D124" i="5"/>
  <c r="C124" i="5"/>
  <c r="B124" i="5"/>
  <c r="U124" i="5" s="1"/>
  <c r="A124" i="5"/>
  <c r="U123" i="5"/>
  <c r="R123" i="5"/>
  <c r="S123" i="5" s="1"/>
  <c r="M123" i="5"/>
  <c r="L123" i="5"/>
  <c r="K123" i="5"/>
  <c r="J123" i="5"/>
  <c r="W123" i="5" s="1"/>
  <c r="I123" i="5"/>
  <c r="V123" i="5" s="1"/>
  <c r="H123" i="5"/>
  <c r="T123" i="5" s="1"/>
  <c r="G123" i="5"/>
  <c r="F123" i="5"/>
  <c r="E123" i="5"/>
  <c r="D123" i="5"/>
  <c r="C123" i="5"/>
  <c r="B123" i="5"/>
  <c r="A123" i="5"/>
  <c r="T122" i="5"/>
  <c r="R122" i="5"/>
  <c r="S122" i="5" s="1"/>
  <c r="P122" i="5"/>
  <c r="N122" i="5"/>
  <c r="M122" i="5"/>
  <c r="L122" i="5"/>
  <c r="K122" i="5"/>
  <c r="J122" i="5"/>
  <c r="W122" i="5" s="1"/>
  <c r="I122" i="5"/>
  <c r="V122" i="5" s="1"/>
  <c r="H122" i="5"/>
  <c r="G122" i="5"/>
  <c r="F122" i="5"/>
  <c r="E122" i="5"/>
  <c r="D122" i="5"/>
  <c r="C122" i="5"/>
  <c r="O122" i="5" s="1"/>
  <c r="B122" i="5"/>
  <c r="U122" i="5" s="1"/>
  <c r="A122" i="5"/>
  <c r="V121" i="5"/>
  <c r="U121" i="5"/>
  <c r="T121" i="5"/>
  <c r="R121" i="5"/>
  <c r="S121" i="5" s="1"/>
  <c r="P121" i="5"/>
  <c r="M121" i="5"/>
  <c r="L121" i="5"/>
  <c r="K121" i="5"/>
  <c r="J121" i="5"/>
  <c r="W121" i="5" s="1"/>
  <c r="I121" i="5"/>
  <c r="H121" i="5"/>
  <c r="G121" i="5"/>
  <c r="F121" i="5"/>
  <c r="E121" i="5"/>
  <c r="D121" i="5"/>
  <c r="C121" i="5"/>
  <c r="O121" i="5" s="1"/>
  <c r="B121" i="5"/>
  <c r="A121" i="5"/>
  <c r="V120" i="5"/>
  <c r="T120" i="5"/>
  <c r="R120" i="5"/>
  <c r="S120" i="5" s="1"/>
  <c r="M120" i="5"/>
  <c r="L120" i="5"/>
  <c r="K120" i="5"/>
  <c r="J120" i="5"/>
  <c r="W120" i="5" s="1"/>
  <c r="I120" i="5"/>
  <c r="H120" i="5"/>
  <c r="G120" i="5"/>
  <c r="F120" i="5"/>
  <c r="E120" i="5"/>
  <c r="D120" i="5"/>
  <c r="C120" i="5"/>
  <c r="B120" i="5"/>
  <c r="U120" i="5" s="1"/>
  <c r="A120" i="5"/>
  <c r="U119" i="5"/>
  <c r="R119" i="5"/>
  <c r="S119" i="5" s="1"/>
  <c r="M119" i="5"/>
  <c r="L119" i="5"/>
  <c r="K119" i="5"/>
  <c r="J119" i="5"/>
  <c r="W119" i="5" s="1"/>
  <c r="I119" i="5"/>
  <c r="V119" i="5" s="1"/>
  <c r="H119" i="5"/>
  <c r="T119" i="5" s="1"/>
  <c r="G119" i="5"/>
  <c r="F119" i="5"/>
  <c r="E119" i="5"/>
  <c r="D119" i="5"/>
  <c r="C119" i="5"/>
  <c r="B119" i="5"/>
  <c r="A119" i="5"/>
  <c r="T118" i="5"/>
  <c r="R118" i="5"/>
  <c r="S118" i="5" s="1"/>
  <c r="P118" i="5"/>
  <c r="N118" i="5"/>
  <c r="M118" i="5"/>
  <c r="L118" i="5"/>
  <c r="K118" i="5"/>
  <c r="J118" i="5"/>
  <c r="W118" i="5" s="1"/>
  <c r="I118" i="5"/>
  <c r="V118" i="5" s="1"/>
  <c r="H118" i="5"/>
  <c r="G118" i="5"/>
  <c r="F118" i="5"/>
  <c r="E118" i="5"/>
  <c r="D118" i="5"/>
  <c r="C118" i="5"/>
  <c r="O118" i="5" s="1"/>
  <c r="B118" i="5"/>
  <c r="U118" i="5" s="1"/>
  <c r="A118" i="5"/>
  <c r="V117" i="5"/>
  <c r="U117" i="5"/>
  <c r="T117" i="5"/>
  <c r="R117" i="5"/>
  <c r="S117" i="5" s="1"/>
  <c r="P117" i="5"/>
  <c r="M117" i="5"/>
  <c r="L117" i="5"/>
  <c r="K117" i="5"/>
  <c r="J117" i="5"/>
  <c r="W117" i="5" s="1"/>
  <c r="I117" i="5"/>
  <c r="H117" i="5"/>
  <c r="G117" i="5"/>
  <c r="F117" i="5"/>
  <c r="E117" i="5"/>
  <c r="D117" i="5"/>
  <c r="C117" i="5"/>
  <c r="O117" i="5" s="1"/>
  <c r="B117" i="5"/>
  <c r="A117" i="5"/>
  <c r="V116" i="5"/>
  <c r="T116" i="5"/>
  <c r="S116" i="5"/>
  <c r="R116" i="5"/>
  <c r="M116" i="5"/>
  <c r="L116" i="5"/>
  <c r="K116" i="5"/>
  <c r="J116" i="5"/>
  <c r="W116" i="5" s="1"/>
  <c r="I116" i="5"/>
  <c r="H116" i="5"/>
  <c r="G116" i="5"/>
  <c r="F116" i="5"/>
  <c r="E116" i="5"/>
  <c r="D116" i="5"/>
  <c r="C116" i="5"/>
  <c r="B116" i="5"/>
  <c r="U116" i="5" s="1"/>
  <c r="A116" i="5"/>
  <c r="U115" i="5"/>
  <c r="R115" i="5"/>
  <c r="S115" i="5" s="1"/>
  <c r="Q115" i="5"/>
  <c r="M115" i="5"/>
  <c r="L115" i="5"/>
  <c r="K115" i="5"/>
  <c r="J115" i="5"/>
  <c r="W115" i="5" s="1"/>
  <c r="I115" i="5"/>
  <c r="V115" i="5" s="1"/>
  <c r="H115" i="5"/>
  <c r="T115" i="5" s="1"/>
  <c r="G115" i="5"/>
  <c r="F115" i="5"/>
  <c r="E115" i="5"/>
  <c r="D115" i="5"/>
  <c r="C115" i="5"/>
  <c r="B115" i="5"/>
  <c r="A115" i="5"/>
  <c r="T114" i="5"/>
  <c r="R114" i="5"/>
  <c r="S114" i="5" s="1"/>
  <c r="P114" i="5"/>
  <c r="N114" i="5"/>
  <c r="M114" i="5"/>
  <c r="L114" i="5"/>
  <c r="K114" i="5"/>
  <c r="J114" i="5"/>
  <c r="W114" i="5" s="1"/>
  <c r="I114" i="5"/>
  <c r="V114" i="5" s="1"/>
  <c r="H114" i="5"/>
  <c r="G114" i="5"/>
  <c r="F114" i="5"/>
  <c r="E114" i="5"/>
  <c r="D114" i="5"/>
  <c r="C114" i="5"/>
  <c r="O114" i="5" s="1"/>
  <c r="B114" i="5"/>
  <c r="U114" i="5" s="1"/>
  <c r="A114" i="5"/>
  <c r="X114" i="5" s="1"/>
  <c r="V113" i="5"/>
  <c r="U113" i="5"/>
  <c r="T113" i="5"/>
  <c r="R113" i="5"/>
  <c r="S113" i="5" s="1"/>
  <c r="P113" i="5"/>
  <c r="M113" i="5"/>
  <c r="L113" i="5"/>
  <c r="K113" i="5"/>
  <c r="J113" i="5"/>
  <c r="W113" i="5" s="1"/>
  <c r="I113" i="5"/>
  <c r="H113" i="5"/>
  <c r="G113" i="5"/>
  <c r="F113" i="5"/>
  <c r="E113" i="5"/>
  <c r="D113" i="5"/>
  <c r="C113" i="5"/>
  <c r="O113" i="5" s="1"/>
  <c r="B113" i="5"/>
  <c r="A113" i="5"/>
  <c r="V112" i="5"/>
  <c r="T112" i="5"/>
  <c r="R112" i="5"/>
  <c r="S112" i="5" s="1"/>
  <c r="M112" i="5"/>
  <c r="L112" i="5"/>
  <c r="K112" i="5"/>
  <c r="J112" i="5"/>
  <c r="W112" i="5" s="1"/>
  <c r="I112" i="5"/>
  <c r="H112" i="5"/>
  <c r="G112" i="5"/>
  <c r="F112" i="5"/>
  <c r="E112" i="5"/>
  <c r="D112" i="5"/>
  <c r="C112" i="5"/>
  <c r="B112" i="5"/>
  <c r="U112" i="5" s="1"/>
  <c r="A112" i="5"/>
  <c r="U111" i="5"/>
  <c r="R111" i="5"/>
  <c r="S111" i="5" s="1"/>
  <c r="M111" i="5"/>
  <c r="L111" i="5"/>
  <c r="K111" i="5"/>
  <c r="J111" i="5"/>
  <c r="W111" i="5" s="1"/>
  <c r="I111" i="5"/>
  <c r="V111" i="5" s="1"/>
  <c r="H111" i="5"/>
  <c r="T111" i="5" s="1"/>
  <c r="G111" i="5"/>
  <c r="F111" i="5"/>
  <c r="E111" i="5"/>
  <c r="D111" i="5"/>
  <c r="C111" i="5"/>
  <c r="Q111" i="5" s="1"/>
  <c r="B111" i="5"/>
  <c r="A111" i="5"/>
  <c r="T110" i="5"/>
  <c r="P110" i="5"/>
  <c r="N110" i="5"/>
  <c r="M110" i="5"/>
  <c r="L110" i="5"/>
  <c r="K110" i="5"/>
  <c r="J110" i="5"/>
  <c r="W110" i="5" s="1"/>
  <c r="I110" i="5"/>
  <c r="V110" i="5" s="1"/>
  <c r="H110" i="5"/>
  <c r="G110" i="5"/>
  <c r="F110" i="5"/>
  <c r="R110" i="5" s="1"/>
  <c r="S110" i="5" s="1"/>
  <c r="E110" i="5"/>
  <c r="D110" i="5"/>
  <c r="C110" i="5"/>
  <c r="O110" i="5" s="1"/>
  <c r="B110" i="5"/>
  <c r="U110" i="5" s="1"/>
  <c r="A110" i="5"/>
  <c r="X110" i="5" s="1"/>
  <c r="V109" i="5"/>
  <c r="U109" i="5"/>
  <c r="T109" i="5"/>
  <c r="R109" i="5"/>
  <c r="S109" i="5" s="1"/>
  <c r="P109" i="5"/>
  <c r="M109" i="5"/>
  <c r="L109" i="5"/>
  <c r="K109" i="5"/>
  <c r="J109" i="5"/>
  <c r="W109" i="5" s="1"/>
  <c r="I109" i="5"/>
  <c r="H109" i="5"/>
  <c r="G109" i="5"/>
  <c r="F109" i="5"/>
  <c r="E109" i="5"/>
  <c r="D109" i="5"/>
  <c r="C109" i="5"/>
  <c r="O109" i="5" s="1"/>
  <c r="B109" i="5"/>
  <c r="A109" i="5"/>
  <c r="V108" i="5"/>
  <c r="T108" i="5"/>
  <c r="S108" i="5"/>
  <c r="R108" i="5"/>
  <c r="M108" i="5"/>
  <c r="L108" i="5"/>
  <c r="K108" i="5"/>
  <c r="J108" i="5"/>
  <c r="W108" i="5" s="1"/>
  <c r="I108" i="5"/>
  <c r="H108" i="5"/>
  <c r="G108" i="5"/>
  <c r="F108" i="5"/>
  <c r="E108" i="5"/>
  <c r="D108" i="5"/>
  <c r="C108" i="5"/>
  <c r="B108" i="5"/>
  <c r="U108" i="5" s="1"/>
  <c r="A108" i="5"/>
  <c r="X108" i="5" s="1"/>
  <c r="U107" i="5"/>
  <c r="R107" i="5"/>
  <c r="S107" i="5" s="1"/>
  <c r="M107" i="5"/>
  <c r="L107" i="5"/>
  <c r="K107" i="5"/>
  <c r="J107" i="5"/>
  <c r="W107" i="5" s="1"/>
  <c r="I107" i="5"/>
  <c r="V107" i="5" s="1"/>
  <c r="H107" i="5"/>
  <c r="T107" i="5" s="1"/>
  <c r="G107" i="5"/>
  <c r="F107" i="5"/>
  <c r="E107" i="5"/>
  <c r="D107" i="5"/>
  <c r="C107" i="5"/>
  <c r="Q107" i="5" s="1"/>
  <c r="B107" i="5"/>
  <c r="A107" i="5"/>
  <c r="T106" i="5"/>
  <c r="R106" i="5"/>
  <c r="S106" i="5" s="1"/>
  <c r="P106" i="5"/>
  <c r="N106" i="5"/>
  <c r="M106" i="5"/>
  <c r="L106" i="5"/>
  <c r="K106" i="5"/>
  <c r="J106" i="5"/>
  <c r="W106" i="5" s="1"/>
  <c r="I106" i="5"/>
  <c r="V106" i="5" s="1"/>
  <c r="H106" i="5"/>
  <c r="G106" i="5"/>
  <c r="F106" i="5"/>
  <c r="E106" i="5"/>
  <c r="D106" i="5"/>
  <c r="C106" i="5"/>
  <c r="O106" i="5" s="1"/>
  <c r="B106" i="5"/>
  <c r="U106" i="5" s="1"/>
  <c r="A106" i="5"/>
  <c r="V105" i="5"/>
  <c r="U105" i="5"/>
  <c r="T105" i="5"/>
  <c r="R105" i="5"/>
  <c r="S105" i="5" s="1"/>
  <c r="P105" i="5"/>
  <c r="M105" i="5"/>
  <c r="L105" i="5"/>
  <c r="K105" i="5"/>
  <c r="J105" i="5"/>
  <c r="W105" i="5" s="1"/>
  <c r="I105" i="5"/>
  <c r="H105" i="5"/>
  <c r="G105" i="5"/>
  <c r="F105" i="5"/>
  <c r="E105" i="5"/>
  <c r="D105" i="5"/>
  <c r="C105" i="5"/>
  <c r="O105" i="5" s="1"/>
  <c r="B105" i="5"/>
  <c r="A105" i="5"/>
  <c r="V104" i="5"/>
  <c r="T104" i="5"/>
  <c r="R104" i="5"/>
  <c r="S104" i="5" s="1"/>
  <c r="M104" i="5"/>
  <c r="L104" i="5"/>
  <c r="K104" i="5"/>
  <c r="J104" i="5"/>
  <c r="W104" i="5" s="1"/>
  <c r="I104" i="5"/>
  <c r="H104" i="5"/>
  <c r="G104" i="5"/>
  <c r="F104" i="5"/>
  <c r="E104" i="5"/>
  <c r="D104" i="5"/>
  <c r="C104" i="5"/>
  <c r="B104" i="5"/>
  <c r="U104" i="5" s="1"/>
  <c r="A104" i="5"/>
  <c r="U103" i="5"/>
  <c r="R103" i="5"/>
  <c r="S103" i="5" s="1"/>
  <c r="M103" i="5"/>
  <c r="L103" i="5"/>
  <c r="K103" i="5"/>
  <c r="J103" i="5"/>
  <c r="W103" i="5" s="1"/>
  <c r="I103" i="5"/>
  <c r="V103" i="5" s="1"/>
  <c r="H103" i="5"/>
  <c r="T103" i="5" s="1"/>
  <c r="G103" i="5"/>
  <c r="F103" i="5"/>
  <c r="E103" i="5"/>
  <c r="D103" i="5"/>
  <c r="C103" i="5"/>
  <c r="B103" i="5"/>
  <c r="A103" i="5"/>
  <c r="X103" i="5" s="1"/>
  <c r="X102" i="5"/>
  <c r="T102" i="5"/>
  <c r="R102" i="5"/>
  <c r="S102" i="5" s="1"/>
  <c r="P102" i="5"/>
  <c r="N102" i="5"/>
  <c r="M102" i="5"/>
  <c r="L102" i="5"/>
  <c r="K102" i="5"/>
  <c r="J102" i="5"/>
  <c r="W102" i="5" s="1"/>
  <c r="I102" i="5"/>
  <c r="V102" i="5" s="1"/>
  <c r="H102" i="5"/>
  <c r="G102" i="5"/>
  <c r="F102" i="5"/>
  <c r="E102" i="5"/>
  <c r="D102" i="5"/>
  <c r="C102" i="5"/>
  <c r="O102" i="5" s="1"/>
  <c r="B102" i="5"/>
  <c r="U102" i="5" s="1"/>
  <c r="A102" i="5"/>
  <c r="V101" i="5"/>
  <c r="U101" i="5"/>
  <c r="T101" i="5"/>
  <c r="R101" i="5"/>
  <c r="S101" i="5" s="1"/>
  <c r="P101" i="5"/>
  <c r="M101" i="5"/>
  <c r="L101" i="5"/>
  <c r="K101" i="5"/>
  <c r="J101" i="5"/>
  <c r="W101" i="5" s="1"/>
  <c r="I101" i="5"/>
  <c r="H101" i="5"/>
  <c r="G101" i="5"/>
  <c r="F101" i="5"/>
  <c r="E101" i="5"/>
  <c r="D101" i="5"/>
  <c r="C101" i="5"/>
  <c r="O101" i="5" s="1"/>
  <c r="B101" i="5"/>
  <c r="A101" i="5"/>
  <c r="V100" i="5"/>
  <c r="T100" i="5"/>
  <c r="N100" i="5"/>
  <c r="M100" i="5"/>
  <c r="L100" i="5"/>
  <c r="K100" i="5"/>
  <c r="J100" i="5"/>
  <c r="W100" i="5" s="1"/>
  <c r="I100" i="5"/>
  <c r="H100" i="5"/>
  <c r="G100" i="5"/>
  <c r="F100" i="5"/>
  <c r="R100" i="5" s="1"/>
  <c r="S100" i="5" s="1"/>
  <c r="E100" i="5"/>
  <c r="D100" i="5"/>
  <c r="C100" i="5"/>
  <c r="B100" i="5"/>
  <c r="U100" i="5" s="1"/>
  <c r="A100" i="5"/>
  <c r="V99" i="5"/>
  <c r="T99" i="5"/>
  <c r="N99" i="5"/>
  <c r="M99" i="5"/>
  <c r="L99" i="5"/>
  <c r="K99" i="5"/>
  <c r="J99" i="5"/>
  <c r="W99" i="5" s="1"/>
  <c r="I99" i="5"/>
  <c r="H99" i="5"/>
  <c r="G99" i="5"/>
  <c r="F99" i="5"/>
  <c r="R99" i="5" s="1"/>
  <c r="S99" i="5" s="1"/>
  <c r="E99" i="5"/>
  <c r="D99" i="5"/>
  <c r="C99" i="5"/>
  <c r="B99" i="5"/>
  <c r="U99" i="5" s="1"/>
  <c r="A99" i="5"/>
  <c r="V98" i="5"/>
  <c r="M98" i="5"/>
  <c r="L98" i="5"/>
  <c r="K98" i="5"/>
  <c r="J98" i="5"/>
  <c r="W98" i="5" s="1"/>
  <c r="I98" i="5"/>
  <c r="H98" i="5"/>
  <c r="T98" i="5" s="1"/>
  <c r="G98" i="5"/>
  <c r="F98" i="5"/>
  <c r="R98" i="5" s="1"/>
  <c r="S98" i="5" s="1"/>
  <c r="E98" i="5"/>
  <c r="D98" i="5"/>
  <c r="C98" i="5"/>
  <c r="B98" i="5"/>
  <c r="U98" i="5" s="1"/>
  <c r="A98" i="5"/>
  <c r="X97" i="5"/>
  <c r="V97" i="5"/>
  <c r="M97" i="5"/>
  <c r="L97" i="5"/>
  <c r="K97" i="5"/>
  <c r="J97" i="5"/>
  <c r="W97" i="5" s="1"/>
  <c r="I97" i="5"/>
  <c r="H97" i="5"/>
  <c r="T97" i="5" s="1"/>
  <c r="G97" i="5"/>
  <c r="F97" i="5"/>
  <c r="R97" i="5" s="1"/>
  <c r="S97" i="5" s="1"/>
  <c r="E97" i="5"/>
  <c r="D97" i="5"/>
  <c r="C97" i="5"/>
  <c r="B97" i="5"/>
  <c r="U97" i="5" s="1"/>
  <c r="A97" i="5"/>
  <c r="V96" i="5"/>
  <c r="N96" i="5"/>
  <c r="M96" i="5"/>
  <c r="L96" i="5"/>
  <c r="K96" i="5"/>
  <c r="J96" i="5"/>
  <c r="W96" i="5" s="1"/>
  <c r="I96" i="5"/>
  <c r="H96" i="5"/>
  <c r="T96" i="5" s="1"/>
  <c r="G96" i="5"/>
  <c r="F96" i="5"/>
  <c r="R96" i="5" s="1"/>
  <c r="S96" i="5" s="1"/>
  <c r="E96" i="5"/>
  <c r="D96" i="5"/>
  <c r="C96" i="5"/>
  <c r="P96" i="5" s="1"/>
  <c r="B96" i="5"/>
  <c r="U96" i="5" s="1"/>
  <c r="A96" i="5"/>
  <c r="V95" i="5"/>
  <c r="M95" i="5"/>
  <c r="L95" i="5"/>
  <c r="K95" i="5"/>
  <c r="J95" i="5"/>
  <c r="W95" i="5" s="1"/>
  <c r="I95" i="5"/>
  <c r="H95" i="5"/>
  <c r="T95" i="5" s="1"/>
  <c r="G95" i="5"/>
  <c r="F95" i="5"/>
  <c r="R95" i="5" s="1"/>
  <c r="S95" i="5" s="1"/>
  <c r="E95" i="5"/>
  <c r="D95" i="5"/>
  <c r="C95" i="5"/>
  <c r="B95" i="5"/>
  <c r="U95" i="5" s="1"/>
  <c r="A95" i="5"/>
  <c r="X94" i="5"/>
  <c r="V94" i="5"/>
  <c r="T94" i="5"/>
  <c r="M94" i="5"/>
  <c r="L94" i="5"/>
  <c r="K94" i="5"/>
  <c r="J94" i="5"/>
  <c r="W94" i="5" s="1"/>
  <c r="I94" i="5"/>
  <c r="H94" i="5"/>
  <c r="G94" i="5"/>
  <c r="F94" i="5"/>
  <c r="R94" i="5" s="1"/>
  <c r="S94" i="5" s="1"/>
  <c r="E94" i="5"/>
  <c r="D94" i="5"/>
  <c r="C94" i="5"/>
  <c r="B94" i="5"/>
  <c r="U94" i="5" s="1"/>
  <c r="A94" i="5"/>
  <c r="V93" i="5"/>
  <c r="T93" i="5"/>
  <c r="P93" i="5"/>
  <c r="N93" i="5"/>
  <c r="M93" i="5"/>
  <c r="L93" i="5"/>
  <c r="K93" i="5"/>
  <c r="J93" i="5"/>
  <c r="W93" i="5" s="1"/>
  <c r="I93" i="5"/>
  <c r="H93" i="5"/>
  <c r="G93" i="5"/>
  <c r="F93" i="5"/>
  <c r="R93" i="5" s="1"/>
  <c r="S93" i="5" s="1"/>
  <c r="E93" i="5"/>
  <c r="D93" i="5"/>
  <c r="C93" i="5"/>
  <c r="B93" i="5"/>
  <c r="U93" i="5" s="1"/>
  <c r="A93" i="5"/>
  <c r="V92" i="5"/>
  <c r="T92" i="5"/>
  <c r="P92" i="5"/>
  <c r="M92" i="5"/>
  <c r="L92" i="5"/>
  <c r="K92" i="5"/>
  <c r="J92" i="5"/>
  <c r="W92" i="5" s="1"/>
  <c r="I92" i="5"/>
  <c r="H92" i="5"/>
  <c r="G92" i="5"/>
  <c r="F92" i="5"/>
  <c r="R92" i="5" s="1"/>
  <c r="S92" i="5" s="1"/>
  <c r="E92" i="5"/>
  <c r="D92" i="5"/>
  <c r="C92" i="5"/>
  <c r="B92" i="5"/>
  <c r="U92" i="5" s="1"/>
  <c r="A92" i="5"/>
  <c r="V91" i="5"/>
  <c r="P91" i="5"/>
  <c r="M91" i="5"/>
  <c r="L91" i="5"/>
  <c r="K91" i="5"/>
  <c r="J91" i="5"/>
  <c r="W91" i="5" s="1"/>
  <c r="I91" i="5"/>
  <c r="H91" i="5"/>
  <c r="T91" i="5" s="1"/>
  <c r="G91" i="5"/>
  <c r="F91" i="5"/>
  <c r="R91" i="5" s="1"/>
  <c r="S91" i="5" s="1"/>
  <c r="E91" i="5"/>
  <c r="D91" i="5"/>
  <c r="C91" i="5"/>
  <c r="N91" i="5" s="1"/>
  <c r="B91" i="5"/>
  <c r="U91" i="5" s="1"/>
  <c r="A91" i="5"/>
  <c r="V90" i="5"/>
  <c r="P90" i="5"/>
  <c r="M90" i="5"/>
  <c r="L90" i="5"/>
  <c r="K90" i="5"/>
  <c r="J90" i="5"/>
  <c r="W90" i="5" s="1"/>
  <c r="I90" i="5"/>
  <c r="H90" i="5"/>
  <c r="T90" i="5" s="1"/>
  <c r="G90" i="5"/>
  <c r="F90" i="5"/>
  <c r="R90" i="5" s="1"/>
  <c r="S90" i="5" s="1"/>
  <c r="E90" i="5"/>
  <c r="D90" i="5"/>
  <c r="C90" i="5"/>
  <c r="B90" i="5"/>
  <c r="U90" i="5" s="1"/>
  <c r="A90" i="5"/>
  <c r="X89" i="5"/>
  <c r="V89" i="5"/>
  <c r="M89" i="5"/>
  <c r="L89" i="5"/>
  <c r="K89" i="5"/>
  <c r="J89" i="5"/>
  <c r="W89" i="5" s="1"/>
  <c r="I89" i="5"/>
  <c r="H89" i="5"/>
  <c r="T89" i="5" s="1"/>
  <c r="G89" i="5"/>
  <c r="F89" i="5"/>
  <c r="R89" i="5" s="1"/>
  <c r="S89" i="5" s="1"/>
  <c r="E89" i="5"/>
  <c r="D89" i="5"/>
  <c r="C89" i="5"/>
  <c r="B89" i="5"/>
  <c r="U89" i="5" s="1"/>
  <c r="A89" i="5"/>
  <c r="V88" i="5"/>
  <c r="N88" i="5"/>
  <c r="M88" i="5"/>
  <c r="L88" i="5"/>
  <c r="K88" i="5"/>
  <c r="J88" i="5"/>
  <c r="W88" i="5" s="1"/>
  <c r="I88" i="5"/>
  <c r="H88" i="5"/>
  <c r="T88" i="5" s="1"/>
  <c r="G88" i="5"/>
  <c r="F88" i="5"/>
  <c r="R88" i="5" s="1"/>
  <c r="S88" i="5" s="1"/>
  <c r="E88" i="5"/>
  <c r="D88" i="5"/>
  <c r="C88" i="5"/>
  <c r="P88" i="5" s="1"/>
  <c r="B88" i="5"/>
  <c r="U88" i="5" s="1"/>
  <c r="A88" i="5"/>
  <c r="V87" i="5"/>
  <c r="M87" i="5"/>
  <c r="L87" i="5"/>
  <c r="K87" i="5"/>
  <c r="J87" i="5"/>
  <c r="W87" i="5" s="1"/>
  <c r="I87" i="5"/>
  <c r="H87" i="5"/>
  <c r="T87" i="5" s="1"/>
  <c r="G87" i="5"/>
  <c r="F87" i="5"/>
  <c r="R87" i="5" s="1"/>
  <c r="S87" i="5" s="1"/>
  <c r="E87" i="5"/>
  <c r="D87" i="5"/>
  <c r="C87" i="5"/>
  <c r="B87" i="5"/>
  <c r="U87" i="5" s="1"/>
  <c r="A87" i="5"/>
  <c r="X86" i="5"/>
  <c r="V86" i="5"/>
  <c r="T86" i="5"/>
  <c r="M86" i="5"/>
  <c r="L86" i="5"/>
  <c r="K86" i="5"/>
  <c r="J86" i="5"/>
  <c r="W86" i="5" s="1"/>
  <c r="I86" i="5"/>
  <c r="H86" i="5"/>
  <c r="G86" i="5"/>
  <c r="F86" i="5"/>
  <c r="R86" i="5" s="1"/>
  <c r="S86" i="5" s="1"/>
  <c r="E86" i="5"/>
  <c r="D86" i="5"/>
  <c r="C86" i="5"/>
  <c r="P86" i="5" s="1"/>
  <c r="B86" i="5"/>
  <c r="U86" i="5" s="1"/>
  <c r="A86" i="5"/>
  <c r="V85" i="5"/>
  <c r="T85" i="5"/>
  <c r="P85" i="5"/>
  <c r="N85" i="5"/>
  <c r="M85" i="5"/>
  <c r="L85" i="5"/>
  <c r="K85" i="5"/>
  <c r="J85" i="5"/>
  <c r="W85" i="5" s="1"/>
  <c r="I85" i="5"/>
  <c r="H85" i="5"/>
  <c r="G85" i="5"/>
  <c r="F85" i="5"/>
  <c r="R85" i="5" s="1"/>
  <c r="S85" i="5" s="1"/>
  <c r="E85" i="5"/>
  <c r="D85" i="5"/>
  <c r="C85" i="5"/>
  <c r="B85" i="5"/>
  <c r="U85" i="5" s="1"/>
  <c r="A85" i="5"/>
  <c r="V84" i="5"/>
  <c r="T84" i="5"/>
  <c r="P84" i="5"/>
  <c r="M84" i="5"/>
  <c r="L84" i="5"/>
  <c r="K84" i="5"/>
  <c r="J84" i="5"/>
  <c r="W84" i="5" s="1"/>
  <c r="I84" i="5"/>
  <c r="H84" i="5"/>
  <c r="G84" i="5"/>
  <c r="F84" i="5"/>
  <c r="R84" i="5" s="1"/>
  <c r="S84" i="5" s="1"/>
  <c r="E84" i="5"/>
  <c r="D84" i="5"/>
  <c r="C84" i="5"/>
  <c r="B84" i="5"/>
  <c r="U84" i="5" s="1"/>
  <c r="A84" i="5"/>
  <c r="V83" i="5"/>
  <c r="P83" i="5"/>
  <c r="M83" i="5"/>
  <c r="L83" i="5"/>
  <c r="K83" i="5"/>
  <c r="J83" i="5"/>
  <c r="W83" i="5" s="1"/>
  <c r="I83" i="5"/>
  <c r="H83" i="5"/>
  <c r="T83" i="5" s="1"/>
  <c r="G83" i="5"/>
  <c r="F83" i="5"/>
  <c r="R83" i="5" s="1"/>
  <c r="S83" i="5" s="1"/>
  <c r="E83" i="5"/>
  <c r="D83" i="5"/>
  <c r="C83" i="5"/>
  <c r="N83" i="5" s="1"/>
  <c r="B83" i="5"/>
  <c r="U83" i="5" s="1"/>
  <c r="A83" i="5"/>
  <c r="V82" i="5"/>
  <c r="P82" i="5"/>
  <c r="M82" i="5"/>
  <c r="L82" i="5"/>
  <c r="K82" i="5"/>
  <c r="J82" i="5"/>
  <c r="W82" i="5" s="1"/>
  <c r="I82" i="5"/>
  <c r="H82" i="5"/>
  <c r="T82" i="5" s="1"/>
  <c r="G82" i="5"/>
  <c r="F82" i="5"/>
  <c r="R82" i="5" s="1"/>
  <c r="S82" i="5" s="1"/>
  <c r="E82" i="5"/>
  <c r="D82" i="5"/>
  <c r="C82" i="5"/>
  <c r="B82" i="5"/>
  <c r="U82" i="5" s="1"/>
  <c r="A82" i="5"/>
  <c r="X81" i="5"/>
  <c r="V81" i="5"/>
  <c r="M81" i="5"/>
  <c r="L81" i="5"/>
  <c r="K81" i="5"/>
  <c r="J81" i="5"/>
  <c r="W81" i="5" s="1"/>
  <c r="I81" i="5"/>
  <c r="H81" i="5"/>
  <c r="T81" i="5" s="1"/>
  <c r="G81" i="5"/>
  <c r="F81" i="5"/>
  <c r="R81" i="5" s="1"/>
  <c r="S81" i="5" s="1"/>
  <c r="E81" i="5"/>
  <c r="D81" i="5"/>
  <c r="C81" i="5"/>
  <c r="P81" i="5" s="1"/>
  <c r="B81" i="5"/>
  <c r="U81" i="5" s="1"/>
  <c r="A81" i="5"/>
  <c r="V80" i="5"/>
  <c r="N80" i="5"/>
  <c r="M80" i="5"/>
  <c r="L80" i="5"/>
  <c r="K80" i="5"/>
  <c r="J80" i="5"/>
  <c r="W80" i="5" s="1"/>
  <c r="I80" i="5"/>
  <c r="H80" i="5"/>
  <c r="T80" i="5" s="1"/>
  <c r="G80" i="5"/>
  <c r="F80" i="5"/>
  <c r="R80" i="5" s="1"/>
  <c r="S80" i="5" s="1"/>
  <c r="E80" i="5"/>
  <c r="D80" i="5"/>
  <c r="C80" i="5"/>
  <c r="P80" i="5" s="1"/>
  <c r="B80" i="5"/>
  <c r="U80" i="5" s="1"/>
  <c r="A80" i="5"/>
  <c r="V79" i="5"/>
  <c r="M79" i="5"/>
  <c r="L79" i="5"/>
  <c r="K79" i="5"/>
  <c r="J79" i="5"/>
  <c r="W79" i="5" s="1"/>
  <c r="I79" i="5"/>
  <c r="H79" i="5"/>
  <c r="T79" i="5" s="1"/>
  <c r="G79" i="5"/>
  <c r="F79" i="5"/>
  <c r="R79" i="5" s="1"/>
  <c r="S79" i="5" s="1"/>
  <c r="E79" i="5"/>
  <c r="D79" i="5"/>
  <c r="C79" i="5"/>
  <c r="B79" i="5"/>
  <c r="U79" i="5" s="1"/>
  <c r="A79" i="5"/>
  <c r="X78" i="5"/>
  <c r="V78" i="5"/>
  <c r="T78" i="5"/>
  <c r="M78" i="5"/>
  <c r="L78" i="5"/>
  <c r="K78" i="5"/>
  <c r="J78" i="5"/>
  <c r="W78" i="5" s="1"/>
  <c r="I78" i="5"/>
  <c r="H78" i="5"/>
  <c r="G78" i="5"/>
  <c r="F78" i="5"/>
  <c r="R78" i="5" s="1"/>
  <c r="S78" i="5" s="1"/>
  <c r="E78" i="5"/>
  <c r="D78" i="5"/>
  <c r="C78" i="5"/>
  <c r="B78" i="5"/>
  <c r="U78" i="5" s="1"/>
  <c r="A78" i="5"/>
  <c r="V77" i="5"/>
  <c r="T77" i="5"/>
  <c r="P77" i="5"/>
  <c r="N77" i="5"/>
  <c r="M77" i="5"/>
  <c r="L77" i="5"/>
  <c r="K77" i="5"/>
  <c r="J77" i="5"/>
  <c r="W77" i="5" s="1"/>
  <c r="I77" i="5"/>
  <c r="H77" i="5"/>
  <c r="G77" i="5"/>
  <c r="F77" i="5"/>
  <c r="R77" i="5" s="1"/>
  <c r="S77" i="5" s="1"/>
  <c r="E77" i="5"/>
  <c r="D77" i="5"/>
  <c r="C77" i="5"/>
  <c r="B77" i="5"/>
  <c r="U77" i="5" s="1"/>
  <c r="A77" i="5"/>
  <c r="V76" i="5"/>
  <c r="T76" i="5"/>
  <c r="P76" i="5"/>
  <c r="M76" i="5"/>
  <c r="L76" i="5"/>
  <c r="K76" i="5"/>
  <c r="J76" i="5"/>
  <c r="W76" i="5" s="1"/>
  <c r="I76" i="5"/>
  <c r="H76" i="5"/>
  <c r="G76" i="5"/>
  <c r="F76" i="5"/>
  <c r="R76" i="5" s="1"/>
  <c r="S76" i="5" s="1"/>
  <c r="E76" i="5"/>
  <c r="D76" i="5"/>
  <c r="C76" i="5"/>
  <c r="B76" i="5"/>
  <c r="U76" i="5" s="1"/>
  <c r="A76" i="5"/>
  <c r="V75" i="5"/>
  <c r="P75" i="5"/>
  <c r="M75" i="5"/>
  <c r="L75" i="5"/>
  <c r="K75" i="5"/>
  <c r="J75" i="5"/>
  <c r="W75" i="5" s="1"/>
  <c r="I75" i="5"/>
  <c r="H75" i="5"/>
  <c r="T75" i="5" s="1"/>
  <c r="G75" i="5"/>
  <c r="F75" i="5"/>
  <c r="R75" i="5" s="1"/>
  <c r="S75" i="5" s="1"/>
  <c r="E75" i="5"/>
  <c r="D75" i="5"/>
  <c r="C75" i="5"/>
  <c r="N75" i="5" s="1"/>
  <c r="B75" i="5"/>
  <c r="U75" i="5" s="1"/>
  <c r="A75" i="5"/>
  <c r="V74" i="5"/>
  <c r="P74" i="5"/>
  <c r="M74" i="5"/>
  <c r="L74" i="5"/>
  <c r="K74" i="5"/>
  <c r="J74" i="5"/>
  <c r="W74" i="5" s="1"/>
  <c r="I74" i="5"/>
  <c r="H74" i="5"/>
  <c r="T74" i="5" s="1"/>
  <c r="G74" i="5"/>
  <c r="F74" i="5"/>
  <c r="R74" i="5" s="1"/>
  <c r="S74" i="5" s="1"/>
  <c r="E74" i="5"/>
  <c r="D74" i="5"/>
  <c r="C74" i="5"/>
  <c r="B74" i="5"/>
  <c r="U74" i="5" s="1"/>
  <c r="A74" i="5"/>
  <c r="X73" i="5"/>
  <c r="V73" i="5"/>
  <c r="M73" i="5"/>
  <c r="L73" i="5"/>
  <c r="K73" i="5"/>
  <c r="J73" i="5"/>
  <c r="W73" i="5" s="1"/>
  <c r="I73" i="5"/>
  <c r="H73" i="5"/>
  <c r="T73" i="5" s="1"/>
  <c r="G73" i="5"/>
  <c r="F73" i="5"/>
  <c r="R73" i="5" s="1"/>
  <c r="S73" i="5" s="1"/>
  <c r="E73" i="5"/>
  <c r="D73" i="5"/>
  <c r="C73" i="5"/>
  <c r="P73" i="5" s="1"/>
  <c r="B73" i="5"/>
  <c r="U73" i="5" s="1"/>
  <c r="A73" i="5"/>
  <c r="V72" i="5"/>
  <c r="N72" i="5"/>
  <c r="M72" i="5"/>
  <c r="L72" i="5"/>
  <c r="K72" i="5"/>
  <c r="J72" i="5"/>
  <c r="W72" i="5" s="1"/>
  <c r="I72" i="5"/>
  <c r="H72" i="5"/>
  <c r="T72" i="5" s="1"/>
  <c r="G72" i="5"/>
  <c r="F72" i="5"/>
  <c r="R72" i="5" s="1"/>
  <c r="S72" i="5" s="1"/>
  <c r="E72" i="5"/>
  <c r="D72" i="5"/>
  <c r="C72" i="5"/>
  <c r="P72" i="5" s="1"/>
  <c r="B72" i="5"/>
  <c r="U72" i="5" s="1"/>
  <c r="A72" i="5"/>
  <c r="V71" i="5"/>
  <c r="M71" i="5"/>
  <c r="L71" i="5"/>
  <c r="K71" i="5"/>
  <c r="J71" i="5"/>
  <c r="W71" i="5" s="1"/>
  <c r="I71" i="5"/>
  <c r="H71" i="5"/>
  <c r="T71" i="5" s="1"/>
  <c r="G71" i="5"/>
  <c r="F71" i="5"/>
  <c r="R71" i="5" s="1"/>
  <c r="S71" i="5" s="1"/>
  <c r="E71" i="5"/>
  <c r="D71" i="5"/>
  <c r="C71" i="5"/>
  <c r="B71" i="5"/>
  <c r="U71" i="5" s="1"/>
  <c r="A71" i="5"/>
  <c r="X70" i="5"/>
  <c r="V70" i="5"/>
  <c r="T70" i="5"/>
  <c r="M70" i="5"/>
  <c r="L70" i="5"/>
  <c r="K70" i="5"/>
  <c r="J70" i="5"/>
  <c r="W70" i="5" s="1"/>
  <c r="I70" i="5"/>
  <c r="H70" i="5"/>
  <c r="G70" i="5"/>
  <c r="F70" i="5"/>
  <c r="R70" i="5" s="1"/>
  <c r="S70" i="5" s="1"/>
  <c r="E70" i="5"/>
  <c r="D70" i="5"/>
  <c r="C70" i="5"/>
  <c r="B70" i="5"/>
  <c r="U70" i="5" s="1"/>
  <c r="A70" i="5"/>
  <c r="V69" i="5"/>
  <c r="T69" i="5"/>
  <c r="P69" i="5"/>
  <c r="N69" i="5"/>
  <c r="M69" i="5"/>
  <c r="L69" i="5"/>
  <c r="K69" i="5"/>
  <c r="J69" i="5"/>
  <c r="W69" i="5" s="1"/>
  <c r="I69" i="5"/>
  <c r="H69" i="5"/>
  <c r="G69" i="5"/>
  <c r="F69" i="5"/>
  <c r="R69" i="5" s="1"/>
  <c r="S69" i="5" s="1"/>
  <c r="E69" i="5"/>
  <c r="D69" i="5"/>
  <c r="C69" i="5"/>
  <c r="B69" i="5"/>
  <c r="U69" i="5" s="1"/>
  <c r="A69" i="5"/>
  <c r="V68" i="5"/>
  <c r="T68" i="5"/>
  <c r="P68" i="5"/>
  <c r="M68" i="5"/>
  <c r="L68" i="5"/>
  <c r="K68" i="5"/>
  <c r="J68" i="5"/>
  <c r="W68" i="5" s="1"/>
  <c r="I68" i="5"/>
  <c r="H68" i="5"/>
  <c r="G68" i="5"/>
  <c r="F68" i="5"/>
  <c r="R68" i="5" s="1"/>
  <c r="S68" i="5" s="1"/>
  <c r="E68" i="5"/>
  <c r="D68" i="5"/>
  <c r="C68" i="5"/>
  <c r="B68" i="5"/>
  <c r="U68" i="5" s="1"/>
  <c r="A68" i="5"/>
  <c r="V67" i="5"/>
  <c r="P67" i="5"/>
  <c r="M67" i="5"/>
  <c r="L67" i="5"/>
  <c r="K67" i="5"/>
  <c r="J67" i="5"/>
  <c r="W67" i="5" s="1"/>
  <c r="I67" i="5"/>
  <c r="H67" i="5"/>
  <c r="T67" i="5" s="1"/>
  <c r="G67" i="5"/>
  <c r="F67" i="5"/>
  <c r="R67" i="5" s="1"/>
  <c r="S67" i="5" s="1"/>
  <c r="E67" i="5"/>
  <c r="D67" i="5"/>
  <c r="C67" i="5"/>
  <c r="N67" i="5" s="1"/>
  <c r="B67" i="5"/>
  <c r="U67" i="5" s="1"/>
  <c r="A67" i="5"/>
  <c r="V66" i="5"/>
  <c r="P66" i="5"/>
  <c r="M66" i="5"/>
  <c r="L66" i="5"/>
  <c r="K66" i="5"/>
  <c r="J66" i="5"/>
  <c r="W66" i="5" s="1"/>
  <c r="I66" i="5"/>
  <c r="H66" i="5"/>
  <c r="T66" i="5" s="1"/>
  <c r="G66" i="5"/>
  <c r="F66" i="5"/>
  <c r="R66" i="5" s="1"/>
  <c r="S66" i="5" s="1"/>
  <c r="E66" i="5"/>
  <c r="D66" i="5"/>
  <c r="C66" i="5"/>
  <c r="B66" i="5"/>
  <c r="U66" i="5" s="1"/>
  <c r="A66" i="5"/>
  <c r="X65" i="5"/>
  <c r="V65" i="5"/>
  <c r="M65" i="5"/>
  <c r="L65" i="5"/>
  <c r="K65" i="5"/>
  <c r="J65" i="5"/>
  <c r="W65" i="5" s="1"/>
  <c r="I65" i="5"/>
  <c r="H65" i="5"/>
  <c r="T65" i="5" s="1"/>
  <c r="G65" i="5"/>
  <c r="F65" i="5"/>
  <c r="R65" i="5" s="1"/>
  <c r="S65" i="5" s="1"/>
  <c r="E65" i="5"/>
  <c r="D65" i="5"/>
  <c r="C65" i="5"/>
  <c r="B65" i="5"/>
  <c r="U65" i="5" s="1"/>
  <c r="A65" i="5"/>
  <c r="V64" i="5"/>
  <c r="T64" i="5"/>
  <c r="P64" i="5"/>
  <c r="N64" i="5"/>
  <c r="M64" i="5"/>
  <c r="L64" i="5"/>
  <c r="K64" i="5"/>
  <c r="J64" i="5"/>
  <c r="W64" i="5" s="1"/>
  <c r="I64" i="5"/>
  <c r="H64" i="5"/>
  <c r="G64" i="5"/>
  <c r="F64" i="5"/>
  <c r="R64" i="5" s="1"/>
  <c r="S64" i="5" s="1"/>
  <c r="E64" i="5"/>
  <c r="D64" i="5"/>
  <c r="C64" i="5"/>
  <c r="B64" i="5"/>
  <c r="U64" i="5" s="1"/>
  <c r="A64" i="5"/>
  <c r="V63" i="5"/>
  <c r="T63" i="5"/>
  <c r="R63" i="5"/>
  <c r="S63" i="5" s="1"/>
  <c r="M63" i="5"/>
  <c r="L63" i="5"/>
  <c r="K63" i="5"/>
  <c r="J63" i="5"/>
  <c r="W63" i="5" s="1"/>
  <c r="I63" i="5"/>
  <c r="H63" i="5"/>
  <c r="G63" i="5"/>
  <c r="F63" i="5"/>
  <c r="E63" i="5"/>
  <c r="D63" i="5"/>
  <c r="C63" i="5"/>
  <c r="B63" i="5"/>
  <c r="U63" i="5" s="1"/>
  <c r="A63" i="5"/>
  <c r="V62" i="5"/>
  <c r="T62" i="5"/>
  <c r="P62" i="5"/>
  <c r="N62" i="5"/>
  <c r="M62" i="5"/>
  <c r="L62" i="5"/>
  <c r="K62" i="5"/>
  <c r="J62" i="5"/>
  <c r="W62" i="5" s="1"/>
  <c r="I62" i="5"/>
  <c r="H62" i="5"/>
  <c r="G62" i="5"/>
  <c r="F62" i="5"/>
  <c r="R62" i="5" s="1"/>
  <c r="S62" i="5" s="1"/>
  <c r="E62" i="5"/>
  <c r="D62" i="5"/>
  <c r="C62" i="5"/>
  <c r="B62" i="5"/>
  <c r="U62" i="5" s="1"/>
  <c r="A62" i="5"/>
  <c r="V61" i="5"/>
  <c r="T61" i="5"/>
  <c r="R61" i="5"/>
  <c r="S61" i="5" s="1"/>
  <c r="M61" i="5"/>
  <c r="L61" i="5"/>
  <c r="K61" i="5"/>
  <c r="J61" i="5"/>
  <c r="W61" i="5" s="1"/>
  <c r="I61" i="5"/>
  <c r="H61" i="5"/>
  <c r="G61" i="5"/>
  <c r="F61" i="5"/>
  <c r="E61" i="5"/>
  <c r="D61" i="5"/>
  <c r="C61" i="5"/>
  <c r="P61" i="5" s="1"/>
  <c r="B61" i="5"/>
  <c r="U61" i="5" s="1"/>
  <c r="A61" i="5"/>
  <c r="V60" i="5"/>
  <c r="T60" i="5"/>
  <c r="P60" i="5"/>
  <c r="N60" i="5"/>
  <c r="M60" i="5"/>
  <c r="L60" i="5"/>
  <c r="K60" i="5"/>
  <c r="J60" i="5"/>
  <c r="W60" i="5" s="1"/>
  <c r="I60" i="5"/>
  <c r="H60" i="5"/>
  <c r="G60" i="5"/>
  <c r="F60" i="5"/>
  <c r="R60" i="5" s="1"/>
  <c r="S60" i="5" s="1"/>
  <c r="E60" i="5"/>
  <c r="D60" i="5"/>
  <c r="C60" i="5"/>
  <c r="B60" i="5"/>
  <c r="U60" i="5" s="1"/>
  <c r="A60" i="5"/>
  <c r="V59" i="5"/>
  <c r="T59" i="5"/>
  <c r="R59" i="5"/>
  <c r="S59" i="5" s="1"/>
  <c r="M59" i="5"/>
  <c r="L59" i="5"/>
  <c r="K59" i="5"/>
  <c r="J59" i="5"/>
  <c r="W59" i="5" s="1"/>
  <c r="I59" i="5"/>
  <c r="H59" i="5"/>
  <c r="G59" i="5"/>
  <c r="F59" i="5"/>
  <c r="E59" i="5"/>
  <c r="D59" i="5"/>
  <c r="C59" i="5"/>
  <c r="B59" i="5"/>
  <c r="U59" i="5" s="1"/>
  <c r="A59" i="5"/>
  <c r="V58" i="5"/>
  <c r="T58" i="5"/>
  <c r="P58" i="5"/>
  <c r="N58" i="5"/>
  <c r="M58" i="5"/>
  <c r="L58" i="5"/>
  <c r="K58" i="5"/>
  <c r="J58" i="5"/>
  <c r="W58" i="5" s="1"/>
  <c r="I58" i="5"/>
  <c r="H58" i="5"/>
  <c r="G58" i="5"/>
  <c r="F58" i="5"/>
  <c r="R58" i="5" s="1"/>
  <c r="S58" i="5" s="1"/>
  <c r="E58" i="5"/>
  <c r="D58" i="5"/>
  <c r="C58" i="5"/>
  <c r="B58" i="5"/>
  <c r="U58" i="5" s="1"/>
  <c r="A58" i="5"/>
  <c r="V57" i="5"/>
  <c r="T57" i="5"/>
  <c r="R57" i="5"/>
  <c r="S57" i="5" s="1"/>
  <c r="M57" i="5"/>
  <c r="L57" i="5"/>
  <c r="K57" i="5"/>
  <c r="J57" i="5"/>
  <c r="W57" i="5" s="1"/>
  <c r="I57" i="5"/>
  <c r="H57" i="5"/>
  <c r="G57" i="5"/>
  <c r="F57" i="5"/>
  <c r="E57" i="5"/>
  <c r="D57" i="5"/>
  <c r="C57" i="5"/>
  <c r="P57" i="5" s="1"/>
  <c r="B57" i="5"/>
  <c r="U57" i="5" s="1"/>
  <c r="A57" i="5"/>
  <c r="V56" i="5"/>
  <c r="T56" i="5"/>
  <c r="P56" i="5"/>
  <c r="N56" i="5"/>
  <c r="M56" i="5"/>
  <c r="L56" i="5"/>
  <c r="K56" i="5"/>
  <c r="J56" i="5"/>
  <c r="W56" i="5" s="1"/>
  <c r="I56" i="5"/>
  <c r="H56" i="5"/>
  <c r="G56" i="5"/>
  <c r="F56" i="5"/>
  <c r="R56" i="5" s="1"/>
  <c r="S56" i="5" s="1"/>
  <c r="E56" i="5"/>
  <c r="D56" i="5"/>
  <c r="C56" i="5"/>
  <c r="B56" i="5"/>
  <c r="U56" i="5" s="1"/>
  <c r="A56" i="5"/>
  <c r="V55" i="5"/>
  <c r="T55" i="5"/>
  <c r="R55" i="5"/>
  <c r="S55" i="5" s="1"/>
  <c r="M55" i="5"/>
  <c r="L55" i="5"/>
  <c r="K55" i="5"/>
  <c r="J55" i="5"/>
  <c r="W55" i="5" s="1"/>
  <c r="I55" i="5"/>
  <c r="H55" i="5"/>
  <c r="G55" i="5"/>
  <c r="F55" i="5"/>
  <c r="E55" i="5"/>
  <c r="D55" i="5"/>
  <c r="C55" i="5"/>
  <c r="P55" i="5" s="1"/>
  <c r="B55" i="5"/>
  <c r="U55" i="5" s="1"/>
  <c r="A55" i="5"/>
  <c r="V54" i="5"/>
  <c r="T54" i="5"/>
  <c r="P54" i="5"/>
  <c r="N54" i="5"/>
  <c r="M54" i="5"/>
  <c r="L54" i="5"/>
  <c r="K54" i="5"/>
  <c r="J54" i="5"/>
  <c r="W54" i="5" s="1"/>
  <c r="I54" i="5"/>
  <c r="H54" i="5"/>
  <c r="G54" i="5"/>
  <c r="F54" i="5"/>
  <c r="R54" i="5" s="1"/>
  <c r="S54" i="5" s="1"/>
  <c r="E54" i="5"/>
  <c r="D54" i="5"/>
  <c r="C54" i="5"/>
  <c r="B54" i="5"/>
  <c r="U54" i="5" s="1"/>
  <c r="A54" i="5"/>
  <c r="V53" i="5"/>
  <c r="T53" i="5"/>
  <c r="R53" i="5"/>
  <c r="S53" i="5" s="1"/>
  <c r="M53" i="5"/>
  <c r="L53" i="5"/>
  <c r="K53" i="5"/>
  <c r="J53" i="5"/>
  <c r="W53" i="5" s="1"/>
  <c r="I53" i="5"/>
  <c r="H53" i="5"/>
  <c r="G53" i="5"/>
  <c r="F53" i="5"/>
  <c r="E53" i="5"/>
  <c r="D53" i="5"/>
  <c r="C53" i="5"/>
  <c r="P53" i="5" s="1"/>
  <c r="B53" i="5"/>
  <c r="U53" i="5" s="1"/>
  <c r="A53" i="5"/>
  <c r="V52" i="5"/>
  <c r="T52" i="5"/>
  <c r="P52" i="5"/>
  <c r="N52" i="5"/>
  <c r="M52" i="5"/>
  <c r="L52" i="5"/>
  <c r="K52" i="5"/>
  <c r="J52" i="5"/>
  <c r="W52" i="5" s="1"/>
  <c r="I52" i="5"/>
  <c r="H52" i="5"/>
  <c r="G52" i="5"/>
  <c r="F52" i="5"/>
  <c r="R52" i="5" s="1"/>
  <c r="S52" i="5" s="1"/>
  <c r="E52" i="5"/>
  <c r="D52" i="5"/>
  <c r="C52" i="5"/>
  <c r="B52" i="5"/>
  <c r="U52" i="5" s="1"/>
  <c r="A52" i="5"/>
  <c r="V51" i="5"/>
  <c r="T51" i="5"/>
  <c r="R51" i="5"/>
  <c r="S51" i="5" s="1"/>
  <c r="M51" i="5"/>
  <c r="L51" i="5"/>
  <c r="K51" i="5"/>
  <c r="J51" i="5"/>
  <c r="W51" i="5" s="1"/>
  <c r="I51" i="5"/>
  <c r="H51" i="5"/>
  <c r="G51" i="5"/>
  <c r="F51" i="5"/>
  <c r="E51" i="5"/>
  <c r="D51" i="5"/>
  <c r="C51" i="5"/>
  <c r="B51" i="5"/>
  <c r="U51" i="5" s="1"/>
  <c r="A51" i="5"/>
  <c r="V50" i="5"/>
  <c r="T50" i="5"/>
  <c r="P50" i="5"/>
  <c r="N50" i="5"/>
  <c r="M50" i="5"/>
  <c r="L50" i="5"/>
  <c r="K50" i="5"/>
  <c r="J50" i="5"/>
  <c r="W50" i="5" s="1"/>
  <c r="I50" i="5"/>
  <c r="H50" i="5"/>
  <c r="G50" i="5"/>
  <c r="F50" i="5"/>
  <c r="R50" i="5" s="1"/>
  <c r="S50" i="5" s="1"/>
  <c r="E50" i="5"/>
  <c r="D50" i="5"/>
  <c r="C50" i="5"/>
  <c r="B50" i="5"/>
  <c r="U50" i="5" s="1"/>
  <c r="A50" i="5"/>
  <c r="V49" i="5"/>
  <c r="T49" i="5"/>
  <c r="R49" i="5"/>
  <c r="S49" i="5" s="1"/>
  <c r="M49" i="5"/>
  <c r="L49" i="5"/>
  <c r="K49" i="5"/>
  <c r="J49" i="5"/>
  <c r="W49" i="5" s="1"/>
  <c r="I49" i="5"/>
  <c r="H49" i="5"/>
  <c r="G49" i="5"/>
  <c r="F49" i="5"/>
  <c r="E49" i="5"/>
  <c r="D49" i="5"/>
  <c r="C49" i="5"/>
  <c r="B49" i="5"/>
  <c r="U49" i="5" s="1"/>
  <c r="A49" i="5"/>
  <c r="V48" i="5"/>
  <c r="T48" i="5"/>
  <c r="P48" i="5"/>
  <c r="N48" i="5"/>
  <c r="M48" i="5"/>
  <c r="L48" i="5"/>
  <c r="K48" i="5"/>
  <c r="J48" i="5"/>
  <c r="W48" i="5" s="1"/>
  <c r="I48" i="5"/>
  <c r="H48" i="5"/>
  <c r="G48" i="5"/>
  <c r="F48" i="5"/>
  <c r="R48" i="5" s="1"/>
  <c r="S48" i="5" s="1"/>
  <c r="E48" i="5"/>
  <c r="D48" i="5"/>
  <c r="C48" i="5"/>
  <c r="B48" i="5"/>
  <c r="U48" i="5" s="1"/>
  <c r="A48" i="5"/>
  <c r="V47" i="5"/>
  <c r="T47" i="5"/>
  <c r="R47" i="5"/>
  <c r="S47" i="5" s="1"/>
  <c r="M47" i="5"/>
  <c r="L47" i="5"/>
  <c r="K47" i="5"/>
  <c r="J47" i="5"/>
  <c r="W47" i="5" s="1"/>
  <c r="I47" i="5"/>
  <c r="H47" i="5"/>
  <c r="G47" i="5"/>
  <c r="F47" i="5"/>
  <c r="E47" i="5"/>
  <c r="D47" i="5"/>
  <c r="C47" i="5"/>
  <c r="P47" i="5" s="1"/>
  <c r="B47" i="5"/>
  <c r="U47" i="5" s="1"/>
  <c r="A47" i="5"/>
  <c r="V46" i="5"/>
  <c r="T46" i="5"/>
  <c r="P46" i="5"/>
  <c r="N46" i="5"/>
  <c r="M46" i="5"/>
  <c r="L46" i="5"/>
  <c r="K46" i="5"/>
  <c r="J46" i="5"/>
  <c r="W46" i="5" s="1"/>
  <c r="I46" i="5"/>
  <c r="H46" i="5"/>
  <c r="G46" i="5"/>
  <c r="F46" i="5"/>
  <c r="R46" i="5" s="1"/>
  <c r="S46" i="5" s="1"/>
  <c r="E46" i="5"/>
  <c r="D46" i="5"/>
  <c r="C46" i="5"/>
  <c r="B46" i="5"/>
  <c r="U46" i="5" s="1"/>
  <c r="A46" i="5"/>
  <c r="V45" i="5"/>
  <c r="T45" i="5"/>
  <c r="R45" i="5"/>
  <c r="S45" i="5" s="1"/>
  <c r="M45" i="5"/>
  <c r="L45" i="5"/>
  <c r="K45" i="5"/>
  <c r="J45" i="5"/>
  <c r="W45" i="5" s="1"/>
  <c r="I45" i="5"/>
  <c r="H45" i="5"/>
  <c r="G45" i="5"/>
  <c r="F45" i="5"/>
  <c r="E45" i="5"/>
  <c r="D45" i="5"/>
  <c r="C45" i="5"/>
  <c r="B45" i="5"/>
  <c r="U45" i="5" s="1"/>
  <c r="A45" i="5"/>
  <c r="V44" i="5"/>
  <c r="T44" i="5"/>
  <c r="P44" i="5"/>
  <c r="N44" i="5"/>
  <c r="M44" i="5"/>
  <c r="L44" i="5"/>
  <c r="K44" i="5"/>
  <c r="J44" i="5"/>
  <c r="W44" i="5" s="1"/>
  <c r="I44" i="5"/>
  <c r="H44" i="5"/>
  <c r="G44" i="5"/>
  <c r="F44" i="5"/>
  <c r="R44" i="5" s="1"/>
  <c r="S44" i="5" s="1"/>
  <c r="E44" i="5"/>
  <c r="D44" i="5"/>
  <c r="C44" i="5"/>
  <c r="B44" i="5"/>
  <c r="U44" i="5" s="1"/>
  <c r="A44" i="5"/>
  <c r="V43" i="5"/>
  <c r="T43" i="5"/>
  <c r="R43" i="5"/>
  <c r="S43" i="5" s="1"/>
  <c r="M43" i="5"/>
  <c r="L43" i="5"/>
  <c r="K43" i="5"/>
  <c r="J43" i="5"/>
  <c r="W43" i="5" s="1"/>
  <c r="I43" i="5"/>
  <c r="H43" i="5"/>
  <c r="G43" i="5"/>
  <c r="F43" i="5"/>
  <c r="E43" i="5"/>
  <c r="D43" i="5"/>
  <c r="C43" i="5"/>
  <c r="P43" i="5" s="1"/>
  <c r="B43" i="5"/>
  <c r="U43" i="5" s="1"/>
  <c r="A43" i="5"/>
  <c r="V42" i="5"/>
  <c r="T42" i="5"/>
  <c r="P42" i="5"/>
  <c r="N42" i="5"/>
  <c r="M42" i="5"/>
  <c r="L42" i="5"/>
  <c r="K42" i="5"/>
  <c r="J42" i="5"/>
  <c r="W42" i="5" s="1"/>
  <c r="I42" i="5"/>
  <c r="H42" i="5"/>
  <c r="G42" i="5"/>
  <c r="F42" i="5"/>
  <c r="R42" i="5" s="1"/>
  <c r="S42" i="5" s="1"/>
  <c r="E42" i="5"/>
  <c r="D42" i="5"/>
  <c r="C42" i="5"/>
  <c r="B42" i="5"/>
  <c r="U42" i="5" s="1"/>
  <c r="A42" i="5"/>
  <c r="V41" i="5"/>
  <c r="T41" i="5"/>
  <c r="R41" i="5"/>
  <c r="S41" i="5" s="1"/>
  <c r="M41" i="5"/>
  <c r="L41" i="5"/>
  <c r="K41" i="5"/>
  <c r="J41" i="5"/>
  <c r="W41" i="5" s="1"/>
  <c r="I41" i="5"/>
  <c r="H41" i="5"/>
  <c r="G41" i="5"/>
  <c r="F41" i="5"/>
  <c r="E41" i="5"/>
  <c r="D41" i="5"/>
  <c r="C41" i="5"/>
  <c r="P41" i="5" s="1"/>
  <c r="B41" i="5"/>
  <c r="U41" i="5" s="1"/>
  <c r="A41" i="5"/>
  <c r="V40" i="5"/>
  <c r="T40" i="5"/>
  <c r="P40" i="5"/>
  <c r="N40" i="5"/>
  <c r="M40" i="5"/>
  <c r="L40" i="5"/>
  <c r="K40" i="5"/>
  <c r="J40" i="5"/>
  <c r="W40" i="5" s="1"/>
  <c r="I40" i="5"/>
  <c r="H40" i="5"/>
  <c r="G40" i="5"/>
  <c r="F40" i="5"/>
  <c r="R40" i="5" s="1"/>
  <c r="S40" i="5" s="1"/>
  <c r="E40" i="5"/>
  <c r="D40" i="5"/>
  <c r="C40" i="5"/>
  <c r="B40" i="5"/>
  <c r="U40" i="5" s="1"/>
  <c r="A40" i="5"/>
  <c r="V39" i="5"/>
  <c r="T39" i="5"/>
  <c r="R39" i="5"/>
  <c r="S39" i="5" s="1"/>
  <c r="M39" i="5"/>
  <c r="L39" i="5"/>
  <c r="K39" i="5"/>
  <c r="J39" i="5"/>
  <c r="W39" i="5" s="1"/>
  <c r="I39" i="5"/>
  <c r="H39" i="5"/>
  <c r="G39" i="5"/>
  <c r="F39" i="5"/>
  <c r="E39" i="5"/>
  <c r="D39" i="5"/>
  <c r="C39" i="5"/>
  <c r="P39" i="5" s="1"/>
  <c r="B39" i="5"/>
  <c r="U39" i="5" s="1"/>
  <c r="A39" i="5"/>
  <c r="V38" i="5"/>
  <c r="T38" i="5"/>
  <c r="P38" i="5"/>
  <c r="N38" i="5"/>
  <c r="M38" i="5"/>
  <c r="L38" i="5"/>
  <c r="K38" i="5"/>
  <c r="J38" i="5"/>
  <c r="W38" i="5" s="1"/>
  <c r="I38" i="5"/>
  <c r="H38" i="5"/>
  <c r="G38" i="5"/>
  <c r="F38" i="5"/>
  <c r="R38" i="5" s="1"/>
  <c r="S38" i="5" s="1"/>
  <c r="E38" i="5"/>
  <c r="D38" i="5"/>
  <c r="C38" i="5"/>
  <c r="B38" i="5"/>
  <c r="U38" i="5" s="1"/>
  <c r="A38" i="5"/>
  <c r="V37" i="5"/>
  <c r="T37" i="5"/>
  <c r="R37" i="5"/>
  <c r="S37" i="5" s="1"/>
  <c r="M37" i="5"/>
  <c r="L37" i="5"/>
  <c r="K37" i="5"/>
  <c r="J37" i="5"/>
  <c r="W37" i="5" s="1"/>
  <c r="I37" i="5"/>
  <c r="H37" i="5"/>
  <c r="G37" i="5"/>
  <c r="F37" i="5"/>
  <c r="E37" i="5"/>
  <c r="D37" i="5"/>
  <c r="C37" i="5"/>
  <c r="B37" i="5"/>
  <c r="U37" i="5" s="1"/>
  <c r="A37" i="5"/>
  <c r="V36" i="5"/>
  <c r="T36" i="5"/>
  <c r="P36" i="5"/>
  <c r="N36" i="5"/>
  <c r="M36" i="5"/>
  <c r="L36" i="5"/>
  <c r="K36" i="5"/>
  <c r="J36" i="5"/>
  <c r="W36" i="5" s="1"/>
  <c r="I36" i="5"/>
  <c r="H36" i="5"/>
  <c r="G36" i="5"/>
  <c r="F36" i="5"/>
  <c r="R36" i="5" s="1"/>
  <c r="S36" i="5" s="1"/>
  <c r="E36" i="5"/>
  <c r="D36" i="5"/>
  <c r="C36" i="5"/>
  <c r="B36" i="5"/>
  <c r="U36" i="5" s="1"/>
  <c r="A36" i="5"/>
  <c r="V35" i="5"/>
  <c r="T35" i="5"/>
  <c r="R35" i="5"/>
  <c r="S35" i="5" s="1"/>
  <c r="M35" i="5"/>
  <c r="L35" i="5"/>
  <c r="K35" i="5"/>
  <c r="J35" i="5"/>
  <c r="W35" i="5" s="1"/>
  <c r="I35" i="5"/>
  <c r="H35" i="5"/>
  <c r="G35" i="5"/>
  <c r="F35" i="5"/>
  <c r="E35" i="5"/>
  <c r="D35" i="5"/>
  <c r="C35" i="5"/>
  <c r="P35" i="5" s="1"/>
  <c r="B35" i="5"/>
  <c r="U35" i="5" s="1"/>
  <c r="A35" i="5"/>
  <c r="V34" i="5"/>
  <c r="T34" i="5"/>
  <c r="P34" i="5"/>
  <c r="N34" i="5"/>
  <c r="M34" i="5"/>
  <c r="L34" i="5"/>
  <c r="K34" i="5"/>
  <c r="J34" i="5"/>
  <c r="W34" i="5" s="1"/>
  <c r="I34" i="5"/>
  <c r="H34" i="5"/>
  <c r="G34" i="5"/>
  <c r="F34" i="5"/>
  <c r="R34" i="5" s="1"/>
  <c r="S34" i="5" s="1"/>
  <c r="E34" i="5"/>
  <c r="D34" i="5"/>
  <c r="C34" i="5"/>
  <c r="B34" i="5"/>
  <c r="U34" i="5" s="1"/>
  <c r="A34" i="5"/>
  <c r="V33" i="5"/>
  <c r="T33" i="5"/>
  <c r="R33" i="5"/>
  <c r="S33" i="5" s="1"/>
  <c r="M33" i="5"/>
  <c r="L33" i="5"/>
  <c r="K33" i="5"/>
  <c r="J33" i="5"/>
  <c r="W33" i="5" s="1"/>
  <c r="I33" i="5"/>
  <c r="H33" i="5"/>
  <c r="G33" i="5"/>
  <c r="F33" i="5"/>
  <c r="E33" i="5"/>
  <c r="D33" i="5"/>
  <c r="C33" i="5"/>
  <c r="P33" i="5" s="1"/>
  <c r="B33" i="5"/>
  <c r="U33" i="5" s="1"/>
  <c r="A33" i="5"/>
  <c r="V32" i="5"/>
  <c r="T32" i="5"/>
  <c r="P32" i="5"/>
  <c r="N32" i="5"/>
  <c r="M32" i="5"/>
  <c r="L32" i="5"/>
  <c r="K32" i="5"/>
  <c r="J32" i="5"/>
  <c r="W32" i="5" s="1"/>
  <c r="I32" i="5"/>
  <c r="H32" i="5"/>
  <c r="G32" i="5"/>
  <c r="F32" i="5"/>
  <c r="R32" i="5" s="1"/>
  <c r="S32" i="5" s="1"/>
  <c r="E32" i="5"/>
  <c r="D32" i="5"/>
  <c r="C32" i="5"/>
  <c r="B32" i="5"/>
  <c r="U32" i="5" s="1"/>
  <c r="A32" i="5"/>
  <c r="V31" i="5"/>
  <c r="T31" i="5"/>
  <c r="R31" i="5"/>
  <c r="S31" i="5" s="1"/>
  <c r="M31" i="5"/>
  <c r="L31" i="5"/>
  <c r="K31" i="5"/>
  <c r="J31" i="5"/>
  <c r="W31" i="5" s="1"/>
  <c r="I31" i="5"/>
  <c r="H31" i="5"/>
  <c r="G31" i="5"/>
  <c r="F31" i="5"/>
  <c r="E31" i="5"/>
  <c r="D31" i="5"/>
  <c r="C31" i="5"/>
  <c r="P31" i="5" s="1"/>
  <c r="B31" i="5"/>
  <c r="U31" i="5" s="1"/>
  <c r="A31" i="5"/>
  <c r="V30" i="5"/>
  <c r="T30" i="5"/>
  <c r="P30" i="5"/>
  <c r="N30" i="5"/>
  <c r="M30" i="5"/>
  <c r="L30" i="5"/>
  <c r="K30" i="5"/>
  <c r="J30" i="5"/>
  <c r="W30" i="5" s="1"/>
  <c r="I30" i="5"/>
  <c r="H30" i="5"/>
  <c r="G30" i="5"/>
  <c r="F30" i="5"/>
  <c r="R30" i="5" s="1"/>
  <c r="S30" i="5" s="1"/>
  <c r="E30" i="5"/>
  <c r="D30" i="5"/>
  <c r="C30" i="5"/>
  <c r="B30" i="5"/>
  <c r="U30" i="5" s="1"/>
  <c r="A30" i="5"/>
  <c r="V29" i="5"/>
  <c r="T29" i="5"/>
  <c r="R29" i="5"/>
  <c r="S29" i="5" s="1"/>
  <c r="M29" i="5"/>
  <c r="L29" i="5"/>
  <c r="K29" i="5"/>
  <c r="J29" i="5"/>
  <c r="W29" i="5" s="1"/>
  <c r="I29" i="5"/>
  <c r="H29" i="5"/>
  <c r="G29" i="5"/>
  <c r="F29" i="5"/>
  <c r="E29" i="5"/>
  <c r="D29" i="5"/>
  <c r="C29" i="5"/>
  <c r="P29" i="5" s="1"/>
  <c r="B29" i="5"/>
  <c r="U29" i="5" s="1"/>
  <c r="A29" i="5"/>
  <c r="V28" i="5"/>
  <c r="T28" i="5"/>
  <c r="P28" i="5"/>
  <c r="N28" i="5"/>
  <c r="M28" i="5"/>
  <c r="L28" i="5"/>
  <c r="K28" i="5"/>
  <c r="J28" i="5"/>
  <c r="W28" i="5" s="1"/>
  <c r="I28" i="5"/>
  <c r="H28" i="5"/>
  <c r="G28" i="5"/>
  <c r="F28" i="5"/>
  <c r="R28" i="5" s="1"/>
  <c r="S28" i="5" s="1"/>
  <c r="E28" i="5"/>
  <c r="D28" i="5"/>
  <c r="C28" i="5"/>
  <c r="B28" i="5"/>
  <c r="U28" i="5" s="1"/>
  <c r="A28" i="5"/>
  <c r="V27" i="5"/>
  <c r="T27" i="5"/>
  <c r="R27" i="5"/>
  <c r="S27" i="5" s="1"/>
  <c r="M27" i="5"/>
  <c r="L27" i="5"/>
  <c r="K27" i="5"/>
  <c r="J27" i="5"/>
  <c r="W27" i="5" s="1"/>
  <c r="I27" i="5"/>
  <c r="H27" i="5"/>
  <c r="G27" i="5"/>
  <c r="F27" i="5"/>
  <c r="E27" i="5"/>
  <c r="D27" i="5"/>
  <c r="C27" i="5"/>
  <c r="B27" i="5"/>
  <c r="U27" i="5" s="1"/>
  <c r="A27" i="5"/>
  <c r="V26" i="5"/>
  <c r="T26" i="5"/>
  <c r="P26" i="5"/>
  <c r="N26" i="5"/>
  <c r="M26" i="5"/>
  <c r="L26" i="5"/>
  <c r="K26" i="5"/>
  <c r="J26" i="5"/>
  <c r="W26" i="5" s="1"/>
  <c r="I26" i="5"/>
  <c r="H26" i="5"/>
  <c r="G26" i="5"/>
  <c r="F26" i="5"/>
  <c r="R26" i="5" s="1"/>
  <c r="S26" i="5" s="1"/>
  <c r="E26" i="5"/>
  <c r="D26" i="5"/>
  <c r="C26" i="5"/>
  <c r="B26" i="5"/>
  <c r="U26" i="5" s="1"/>
  <c r="A26" i="5"/>
  <c r="V25" i="5"/>
  <c r="T25" i="5"/>
  <c r="R25" i="5"/>
  <c r="S25" i="5" s="1"/>
  <c r="M25" i="5"/>
  <c r="L25" i="5"/>
  <c r="K25" i="5"/>
  <c r="J25" i="5"/>
  <c r="W25" i="5" s="1"/>
  <c r="I25" i="5"/>
  <c r="H25" i="5"/>
  <c r="G25" i="5"/>
  <c r="F25" i="5"/>
  <c r="E25" i="5"/>
  <c r="D25" i="5"/>
  <c r="C25" i="5"/>
  <c r="B25" i="5"/>
  <c r="U25" i="5" s="1"/>
  <c r="A25" i="5"/>
  <c r="V24" i="5"/>
  <c r="T24" i="5"/>
  <c r="P24" i="5"/>
  <c r="N24" i="5"/>
  <c r="M24" i="5"/>
  <c r="L24" i="5"/>
  <c r="K24" i="5"/>
  <c r="J24" i="5"/>
  <c r="W24" i="5" s="1"/>
  <c r="I24" i="5"/>
  <c r="H24" i="5"/>
  <c r="G24" i="5"/>
  <c r="F24" i="5"/>
  <c r="R24" i="5" s="1"/>
  <c r="S24" i="5" s="1"/>
  <c r="E24" i="5"/>
  <c r="D24" i="5"/>
  <c r="C24" i="5"/>
  <c r="B24" i="5"/>
  <c r="U24" i="5" s="1"/>
  <c r="A24" i="5"/>
  <c r="V23" i="5"/>
  <c r="T23" i="5"/>
  <c r="R23" i="5"/>
  <c r="S23" i="5" s="1"/>
  <c r="M23" i="5"/>
  <c r="L23" i="5"/>
  <c r="K23" i="5"/>
  <c r="J23" i="5"/>
  <c r="W23" i="5" s="1"/>
  <c r="I23" i="5"/>
  <c r="H23" i="5"/>
  <c r="G23" i="5"/>
  <c r="F23" i="5"/>
  <c r="E23" i="5"/>
  <c r="D23" i="5"/>
  <c r="C23" i="5"/>
  <c r="B23" i="5"/>
  <c r="U23" i="5" s="1"/>
  <c r="A23" i="5"/>
  <c r="V22" i="5"/>
  <c r="T22" i="5"/>
  <c r="P22" i="5"/>
  <c r="N22" i="5"/>
  <c r="M22" i="5"/>
  <c r="L22" i="5"/>
  <c r="K22" i="5"/>
  <c r="J22" i="5"/>
  <c r="W22" i="5" s="1"/>
  <c r="I22" i="5"/>
  <c r="H22" i="5"/>
  <c r="G22" i="5"/>
  <c r="F22" i="5"/>
  <c r="R22" i="5" s="1"/>
  <c r="S22" i="5" s="1"/>
  <c r="E22" i="5"/>
  <c r="D22" i="5"/>
  <c r="C22" i="5"/>
  <c r="B22" i="5"/>
  <c r="U22" i="5" s="1"/>
  <c r="A22" i="5"/>
  <c r="V21" i="5"/>
  <c r="T21" i="5"/>
  <c r="R21" i="5"/>
  <c r="S21" i="5" s="1"/>
  <c r="M21" i="5"/>
  <c r="L21" i="5"/>
  <c r="K21" i="5"/>
  <c r="J21" i="5"/>
  <c r="W21" i="5" s="1"/>
  <c r="I21" i="5"/>
  <c r="H21" i="5"/>
  <c r="G21" i="5"/>
  <c r="F21" i="5"/>
  <c r="E21" i="5"/>
  <c r="D21" i="5"/>
  <c r="C21" i="5"/>
  <c r="P21" i="5" s="1"/>
  <c r="B21" i="5"/>
  <c r="U21" i="5" s="1"/>
  <c r="A21" i="5"/>
  <c r="V20" i="5"/>
  <c r="T20" i="5"/>
  <c r="P20" i="5"/>
  <c r="N20" i="5"/>
  <c r="M20" i="5"/>
  <c r="L20" i="5"/>
  <c r="K20" i="5"/>
  <c r="J20" i="5"/>
  <c r="W20" i="5" s="1"/>
  <c r="I20" i="5"/>
  <c r="H20" i="5"/>
  <c r="G20" i="5"/>
  <c r="F20" i="5"/>
  <c r="R20" i="5" s="1"/>
  <c r="S20" i="5" s="1"/>
  <c r="E20" i="5"/>
  <c r="D20" i="5"/>
  <c r="C20" i="5"/>
  <c r="B20" i="5"/>
  <c r="U20" i="5" s="1"/>
  <c r="A20" i="5"/>
  <c r="V19" i="5"/>
  <c r="T19" i="5"/>
  <c r="R19" i="5"/>
  <c r="S19" i="5" s="1"/>
  <c r="M19" i="5"/>
  <c r="L19" i="5"/>
  <c r="K19" i="5"/>
  <c r="J19" i="5"/>
  <c r="W19" i="5" s="1"/>
  <c r="I19" i="5"/>
  <c r="H19" i="5"/>
  <c r="G19" i="5"/>
  <c r="F19" i="5"/>
  <c r="E19" i="5"/>
  <c r="D19" i="5"/>
  <c r="C19" i="5"/>
  <c r="P19" i="5" s="1"/>
  <c r="B19" i="5"/>
  <c r="U19" i="5" s="1"/>
  <c r="A19" i="5"/>
  <c r="V18" i="5"/>
  <c r="T18" i="5"/>
  <c r="P18" i="5"/>
  <c r="N18" i="5"/>
  <c r="M18" i="5"/>
  <c r="L18" i="5"/>
  <c r="K18" i="5"/>
  <c r="J18" i="5"/>
  <c r="W18" i="5" s="1"/>
  <c r="I18" i="5"/>
  <c r="H18" i="5"/>
  <c r="G18" i="5"/>
  <c r="F18" i="5"/>
  <c r="R18" i="5" s="1"/>
  <c r="S18" i="5" s="1"/>
  <c r="E18" i="5"/>
  <c r="D18" i="5"/>
  <c r="C18" i="5"/>
  <c r="B18" i="5"/>
  <c r="U18" i="5" s="1"/>
  <c r="A18" i="5"/>
  <c r="V17" i="5"/>
  <c r="T17" i="5"/>
  <c r="R17" i="5"/>
  <c r="S17" i="5" s="1"/>
  <c r="M17" i="5"/>
  <c r="L17" i="5"/>
  <c r="K17" i="5"/>
  <c r="J17" i="5"/>
  <c r="W17" i="5" s="1"/>
  <c r="I17" i="5"/>
  <c r="H17" i="5"/>
  <c r="G17" i="5"/>
  <c r="F17" i="5"/>
  <c r="E17" i="5"/>
  <c r="D17" i="5"/>
  <c r="C17" i="5"/>
  <c r="B17" i="5"/>
  <c r="U17" i="5" s="1"/>
  <c r="A17" i="5"/>
  <c r="V16" i="5"/>
  <c r="T16" i="5"/>
  <c r="P16" i="5"/>
  <c r="N16" i="5"/>
  <c r="M16" i="5"/>
  <c r="L16" i="5"/>
  <c r="K16" i="5"/>
  <c r="J16" i="5"/>
  <c r="W16" i="5" s="1"/>
  <c r="I16" i="5"/>
  <c r="H16" i="5"/>
  <c r="G16" i="5"/>
  <c r="F16" i="5"/>
  <c r="R16" i="5" s="1"/>
  <c r="S16" i="5" s="1"/>
  <c r="E16" i="5"/>
  <c r="D16" i="5"/>
  <c r="C16" i="5"/>
  <c r="B16" i="5"/>
  <c r="U16" i="5" s="1"/>
  <c r="A16" i="5"/>
  <c r="V15" i="5"/>
  <c r="T15" i="5"/>
  <c r="R15" i="5"/>
  <c r="S15" i="5" s="1"/>
  <c r="M15" i="5"/>
  <c r="L15" i="5"/>
  <c r="K15" i="5"/>
  <c r="J15" i="5"/>
  <c r="W15" i="5" s="1"/>
  <c r="I15" i="5"/>
  <c r="H15" i="5"/>
  <c r="G15" i="5"/>
  <c r="F15" i="5"/>
  <c r="E15" i="5"/>
  <c r="D15" i="5"/>
  <c r="C15" i="5"/>
  <c r="P15" i="5" s="1"/>
  <c r="B15" i="5"/>
  <c r="U15" i="5" s="1"/>
  <c r="A15" i="5"/>
  <c r="V14" i="5"/>
  <c r="R14" i="5"/>
  <c r="S14" i="5" s="1"/>
  <c r="P14" i="5"/>
  <c r="M14" i="5"/>
  <c r="L14" i="5"/>
  <c r="K14" i="5"/>
  <c r="J14" i="5"/>
  <c r="W14" i="5" s="1"/>
  <c r="I14" i="5"/>
  <c r="H14" i="5"/>
  <c r="T14" i="5" s="1"/>
  <c r="G14" i="5"/>
  <c r="F14" i="5"/>
  <c r="E14" i="5"/>
  <c r="D14" i="5"/>
  <c r="C14" i="5"/>
  <c r="B14" i="5"/>
  <c r="U14" i="5" s="1"/>
  <c r="A14" i="5"/>
  <c r="X13" i="5"/>
  <c r="W13" i="5"/>
  <c r="R13" i="5"/>
  <c r="P13" i="5"/>
  <c r="O13" i="5"/>
  <c r="M13" i="5"/>
  <c r="L13" i="5"/>
  <c r="K13" i="5"/>
  <c r="J13" i="5"/>
  <c r="I13" i="5"/>
  <c r="V13" i="5" s="1"/>
  <c r="H13" i="5"/>
  <c r="T13" i="5" s="1"/>
  <c r="G13" i="5"/>
  <c r="S13" i="5" s="1"/>
  <c r="F13" i="5"/>
  <c r="E13" i="5"/>
  <c r="D13" i="5"/>
  <c r="C13" i="5"/>
  <c r="N13" i="5" s="1"/>
  <c r="B13" i="5"/>
  <c r="U13" i="5" s="1"/>
  <c r="A13" i="5"/>
  <c r="X12" i="5"/>
  <c r="W12" i="5"/>
  <c r="R12" i="5"/>
  <c r="P12" i="5"/>
  <c r="O12" i="5"/>
  <c r="M12" i="5"/>
  <c r="L12" i="5"/>
  <c r="K12" i="5"/>
  <c r="J12" i="5"/>
  <c r="I12" i="5"/>
  <c r="V12" i="5" s="1"/>
  <c r="H12" i="5"/>
  <c r="T12" i="5" s="1"/>
  <c r="G12" i="5"/>
  <c r="F12" i="5"/>
  <c r="E12" i="5"/>
  <c r="D12" i="5"/>
  <c r="C12" i="5"/>
  <c r="N12" i="5" s="1"/>
  <c r="B12" i="5"/>
  <c r="U12" i="5" s="1"/>
  <c r="A12" i="5"/>
  <c r="X11" i="5"/>
  <c r="W11" i="5"/>
  <c r="R11" i="5"/>
  <c r="P11" i="5"/>
  <c r="O11" i="5"/>
  <c r="M11" i="5"/>
  <c r="L11" i="5"/>
  <c r="K11" i="5"/>
  <c r="J11" i="5"/>
  <c r="I11" i="5"/>
  <c r="V11" i="5" s="1"/>
  <c r="H11" i="5"/>
  <c r="T11" i="5" s="1"/>
  <c r="G11" i="5"/>
  <c r="S11" i="5" s="1"/>
  <c r="F11" i="5"/>
  <c r="E11" i="5"/>
  <c r="D11" i="5"/>
  <c r="C11" i="5"/>
  <c r="N11" i="5" s="1"/>
  <c r="B11" i="5"/>
  <c r="U11" i="5" s="1"/>
  <c r="A11" i="5"/>
  <c r="X10" i="5"/>
  <c r="W10" i="5"/>
  <c r="V10" i="5"/>
  <c r="R10" i="5"/>
  <c r="P10" i="5"/>
  <c r="O10" i="5"/>
  <c r="N10" i="5"/>
  <c r="M10" i="5"/>
  <c r="L10" i="5"/>
  <c r="K10" i="5"/>
  <c r="J10" i="5"/>
  <c r="I10" i="5"/>
  <c r="H10" i="5"/>
  <c r="T10" i="5" s="1"/>
  <c r="G10" i="5"/>
  <c r="S10" i="5" s="1"/>
  <c r="F10" i="5"/>
  <c r="E10" i="5"/>
  <c r="D10" i="5"/>
  <c r="C10" i="5"/>
  <c r="Q10" i="5" s="1"/>
  <c r="B10" i="5"/>
  <c r="U10" i="5" s="1"/>
  <c r="A10" i="5"/>
  <c r="X9" i="5"/>
  <c r="W9" i="5"/>
  <c r="V9" i="5"/>
  <c r="R9" i="5"/>
  <c r="P9" i="5"/>
  <c r="O9" i="5"/>
  <c r="N9" i="5"/>
  <c r="M9" i="5"/>
  <c r="L9" i="5"/>
  <c r="K9" i="5"/>
  <c r="J9" i="5"/>
  <c r="I9" i="5"/>
  <c r="H9" i="5"/>
  <c r="T9" i="5" s="1"/>
  <c r="G9" i="5"/>
  <c r="S9" i="5" s="1"/>
  <c r="F9" i="5"/>
  <c r="E9" i="5"/>
  <c r="D9" i="5"/>
  <c r="C9" i="5"/>
  <c r="Q9" i="5" s="1"/>
  <c r="B9" i="5"/>
  <c r="U9" i="5" s="1"/>
  <c r="A9" i="5"/>
  <c r="X8" i="5"/>
  <c r="W8" i="5"/>
  <c r="V8" i="5"/>
  <c r="R8" i="5"/>
  <c r="P8" i="5"/>
  <c r="O8" i="5"/>
  <c r="N8" i="5"/>
  <c r="M8" i="5"/>
  <c r="L8" i="5"/>
  <c r="K8" i="5"/>
  <c r="J8" i="5"/>
  <c r="I8" i="5"/>
  <c r="H8" i="5"/>
  <c r="T8" i="5" s="1"/>
  <c r="G8" i="5"/>
  <c r="S8" i="5" s="1"/>
  <c r="F8" i="5"/>
  <c r="E8" i="5"/>
  <c r="D8" i="5"/>
  <c r="C8" i="5"/>
  <c r="Q8" i="5" s="1"/>
  <c r="B8" i="5"/>
  <c r="U8" i="5" s="1"/>
  <c r="A8" i="5"/>
  <c r="X7" i="5"/>
  <c r="W7" i="5"/>
  <c r="V7" i="5"/>
  <c r="R7" i="5"/>
  <c r="P7" i="5"/>
  <c r="O7" i="5"/>
  <c r="N7" i="5"/>
  <c r="M7" i="5"/>
  <c r="L7" i="5"/>
  <c r="K7" i="5"/>
  <c r="J7" i="5"/>
  <c r="I7" i="5"/>
  <c r="H7" i="5"/>
  <c r="T7" i="5" s="1"/>
  <c r="G7" i="5"/>
  <c r="S7" i="5" s="1"/>
  <c r="F7" i="5"/>
  <c r="E7" i="5"/>
  <c r="D7" i="5"/>
  <c r="C7" i="5"/>
  <c r="Q7" i="5" s="1"/>
  <c r="B7" i="5"/>
  <c r="U7" i="5" s="1"/>
  <c r="A7" i="5"/>
  <c r="X6" i="5"/>
  <c r="W6" i="5"/>
  <c r="V6" i="5"/>
  <c r="R6" i="5"/>
  <c r="P6" i="5"/>
  <c r="O6" i="5"/>
  <c r="N6" i="5"/>
  <c r="M6" i="5"/>
  <c r="L6" i="5"/>
  <c r="K6" i="5"/>
  <c r="J6" i="5"/>
  <c r="I6" i="5"/>
  <c r="H6" i="5"/>
  <c r="T6" i="5" s="1"/>
  <c r="G6" i="5"/>
  <c r="S6" i="5" s="1"/>
  <c r="F6" i="5"/>
  <c r="E6" i="5"/>
  <c r="D6" i="5"/>
  <c r="C6" i="5"/>
  <c r="Q6" i="5" s="1"/>
  <c r="B6" i="5"/>
  <c r="U6" i="5" s="1"/>
  <c r="A6" i="5"/>
  <c r="X5" i="5"/>
  <c r="W5" i="5"/>
  <c r="V5" i="5"/>
  <c r="R5" i="5"/>
  <c r="P5" i="5"/>
  <c r="O5" i="5"/>
  <c r="N5" i="5"/>
  <c r="M5" i="5"/>
  <c r="L5" i="5"/>
  <c r="K5" i="5"/>
  <c r="J5" i="5"/>
  <c r="I5" i="5"/>
  <c r="H5" i="5"/>
  <c r="T5" i="5" s="1"/>
  <c r="G5" i="5"/>
  <c r="S5" i="5" s="1"/>
  <c r="F5" i="5"/>
  <c r="E5" i="5"/>
  <c r="D5" i="5"/>
  <c r="C5" i="5"/>
  <c r="Q5" i="5" s="1"/>
  <c r="B5" i="5"/>
  <c r="U5" i="5" s="1"/>
  <c r="A5" i="5"/>
  <c r="X4" i="5"/>
  <c r="W4" i="5"/>
  <c r="V4" i="5"/>
  <c r="R4" i="5"/>
  <c r="P4" i="5"/>
  <c r="O4" i="5"/>
  <c r="N4" i="5"/>
  <c r="M4" i="5"/>
  <c r="L4" i="5"/>
  <c r="K4" i="5"/>
  <c r="J4" i="5"/>
  <c r="I4" i="5"/>
  <c r="H4" i="5"/>
  <c r="T4" i="5" s="1"/>
  <c r="G4" i="5"/>
  <c r="S4" i="5" s="1"/>
  <c r="F4" i="5"/>
  <c r="E4" i="5"/>
  <c r="D4" i="5"/>
  <c r="C4" i="5"/>
  <c r="Q4" i="5" s="1"/>
  <c r="B4" i="5"/>
  <c r="U4" i="5" s="1"/>
  <c r="A4" i="5"/>
  <c r="X3" i="5"/>
  <c r="W3" i="5"/>
  <c r="V3" i="5"/>
  <c r="R3" i="5"/>
  <c r="P3" i="5"/>
  <c r="O3" i="5"/>
  <c r="N3" i="5"/>
  <c r="M3" i="5"/>
  <c r="L3" i="5"/>
  <c r="K3" i="5"/>
  <c r="J3" i="5"/>
  <c r="I3" i="5"/>
  <c r="H3" i="5"/>
  <c r="T3" i="5" s="1"/>
  <c r="G3" i="5"/>
  <c r="S3" i="5" s="1"/>
  <c r="F3" i="5"/>
  <c r="E3" i="5"/>
  <c r="D3" i="5"/>
  <c r="C3" i="5"/>
  <c r="Q3" i="5" s="1"/>
  <c r="B3" i="5"/>
  <c r="U3" i="5" s="1"/>
  <c r="A3" i="5"/>
  <c r="X2" i="5"/>
  <c r="W2" i="5"/>
  <c r="V2" i="5"/>
  <c r="R2" i="5"/>
  <c r="P2" i="5"/>
  <c r="O2" i="5"/>
  <c r="N2" i="5"/>
  <c r="M2" i="5"/>
  <c r="L2" i="5"/>
  <c r="K2" i="5"/>
  <c r="J2" i="5"/>
  <c r="I2" i="5"/>
  <c r="H2" i="5"/>
  <c r="T2" i="5" s="1"/>
  <c r="G2" i="5"/>
  <c r="S2" i="5" s="1"/>
  <c r="F2" i="5"/>
  <c r="E2" i="5"/>
  <c r="D2" i="5"/>
  <c r="C2" i="5"/>
  <c r="Q2" i="5" s="1"/>
  <c r="B2" i="5"/>
  <c r="U2" i="5" s="1"/>
  <c r="A2" i="5"/>
  <c r="S390" i="5" l="1"/>
  <c r="S208" i="5"/>
  <c r="S255" i="5"/>
  <c r="S179" i="5"/>
  <c r="S187" i="5"/>
  <c r="S243" i="5"/>
  <c r="S293" i="5"/>
  <c r="S328" i="5"/>
  <c r="S345" i="5"/>
  <c r="S458" i="5"/>
  <c r="S195" i="5"/>
  <c r="S203" i="5"/>
  <c r="S219" i="5"/>
  <c r="S297" i="5"/>
  <c r="S368" i="5"/>
  <c r="S376" i="5"/>
  <c r="S419" i="5"/>
  <c r="S423" i="5"/>
  <c r="S12" i="5"/>
  <c r="S223" i="5"/>
  <c r="S371" i="5"/>
  <c r="S379" i="5"/>
  <c r="S415" i="5"/>
  <c r="S443" i="5"/>
  <c r="S448" i="5"/>
  <c r="S386" i="5"/>
  <c r="S224" i="5"/>
  <c r="S333" i="5"/>
  <c r="S397" i="5"/>
  <c r="S192" i="5"/>
  <c r="S211" i="5"/>
  <c r="S366" i="5"/>
  <c r="S428" i="5"/>
  <c r="S444" i="5"/>
  <c r="S449" i="5"/>
  <c r="I15" i="6"/>
  <c r="J12" i="6"/>
  <c r="H10" i="6"/>
  <c r="J8" i="6"/>
  <c r="I7" i="6"/>
  <c r="H6" i="6"/>
  <c r="H15" i="6"/>
  <c r="I12" i="6"/>
  <c r="J9" i="6"/>
  <c r="I8" i="6"/>
  <c r="H7" i="6"/>
  <c r="J14" i="6"/>
  <c r="H12" i="6"/>
  <c r="I9" i="6"/>
  <c r="H8" i="6"/>
  <c r="I14" i="6"/>
  <c r="J11" i="6"/>
  <c r="H9" i="6"/>
  <c r="J16" i="6"/>
  <c r="H14" i="6"/>
  <c r="I11" i="6"/>
  <c r="I16" i="6"/>
  <c r="J13" i="6"/>
  <c r="H11" i="6"/>
  <c r="J5" i="6"/>
  <c r="H16" i="6"/>
  <c r="I13" i="6"/>
  <c r="J10" i="6"/>
  <c r="J6" i="6"/>
  <c r="I5" i="6"/>
  <c r="J15" i="6"/>
  <c r="H13" i="6"/>
  <c r="I10" i="6"/>
  <c r="J7" i="6"/>
  <c r="I6" i="6"/>
  <c r="H5" i="6"/>
  <c r="Q94" i="5"/>
  <c r="O94" i="5"/>
  <c r="O112" i="5"/>
  <c r="Q112" i="5"/>
  <c r="P112" i="5"/>
  <c r="N112" i="5"/>
  <c r="X118" i="5"/>
  <c r="X124" i="5"/>
  <c r="O129" i="5"/>
  <c r="N129" i="5"/>
  <c r="Q129" i="5"/>
  <c r="X131" i="5"/>
  <c r="O137" i="5"/>
  <c r="N137" i="5"/>
  <c r="Q137" i="5"/>
  <c r="X139" i="5"/>
  <c r="O145" i="5"/>
  <c r="N145" i="5"/>
  <c r="Q145" i="5"/>
  <c r="O146" i="5"/>
  <c r="N146" i="5"/>
  <c r="Q146" i="5"/>
  <c r="P146" i="5"/>
  <c r="O161" i="5"/>
  <c r="N161" i="5"/>
  <c r="Q161" i="5"/>
  <c r="O162" i="5"/>
  <c r="N162" i="5"/>
  <c r="Q162" i="5"/>
  <c r="P162" i="5"/>
  <c r="P177" i="5"/>
  <c r="O177" i="5"/>
  <c r="N177" i="5"/>
  <c r="P178" i="5"/>
  <c r="Q178" i="5"/>
  <c r="O178" i="5"/>
  <c r="N178" i="5"/>
  <c r="P206" i="5"/>
  <c r="Q206" i="5"/>
  <c r="O206" i="5"/>
  <c r="X231" i="5"/>
  <c r="P238" i="5"/>
  <c r="N238" i="5"/>
  <c r="Q238" i="5"/>
  <c r="O238" i="5"/>
  <c r="Q49" i="5"/>
  <c r="O49" i="5"/>
  <c r="Q51" i="5"/>
  <c r="O51" i="5"/>
  <c r="Q59" i="5"/>
  <c r="O59" i="5"/>
  <c r="Q63" i="5"/>
  <c r="O63" i="5"/>
  <c r="Q65" i="5"/>
  <c r="O65" i="5"/>
  <c r="Q89" i="5"/>
  <c r="O89" i="5"/>
  <c r="Q97" i="5"/>
  <c r="O97" i="5"/>
  <c r="X109" i="5"/>
  <c r="X119" i="5"/>
  <c r="O123" i="5"/>
  <c r="P123" i="5"/>
  <c r="N123" i="5"/>
  <c r="X152" i="5"/>
  <c r="X153" i="5"/>
  <c r="X154" i="5"/>
  <c r="X156" i="5"/>
  <c r="X168" i="5"/>
  <c r="X169" i="5"/>
  <c r="X170" i="5"/>
  <c r="X172" i="5"/>
  <c r="X201" i="5"/>
  <c r="X227" i="5"/>
  <c r="P234" i="5"/>
  <c r="N234" i="5"/>
  <c r="Q234" i="5"/>
  <c r="O234" i="5"/>
  <c r="A5" i="7"/>
  <c r="X499" i="5"/>
  <c r="X491" i="5"/>
  <c r="X483" i="5"/>
  <c r="X475" i="5"/>
  <c r="X486" i="5"/>
  <c r="X498" i="5"/>
  <c r="X490" i="5"/>
  <c r="X481" i="5"/>
  <c r="X495" i="5"/>
  <c r="X484" i="5"/>
  <c r="X476" i="5"/>
  <c r="X485" i="5"/>
  <c r="X474" i="5"/>
  <c r="X469" i="5"/>
  <c r="X473" i="5"/>
  <c r="X465" i="5"/>
  <c r="X482" i="5"/>
  <c r="X312" i="5"/>
  <c r="X304" i="5"/>
  <c r="X343" i="5"/>
  <c r="X336" i="5"/>
  <c r="X328" i="5"/>
  <c r="X320" i="5"/>
  <c r="X315" i="5"/>
  <c r="X307" i="5"/>
  <c r="X331" i="5"/>
  <c r="X323" i="5"/>
  <c r="X318" i="5"/>
  <c r="X310" i="5"/>
  <c r="X302" i="5"/>
  <c r="X348" i="5"/>
  <c r="X339" i="5"/>
  <c r="X337" i="5"/>
  <c r="X332" i="5"/>
  <c r="X329" i="5"/>
  <c r="X324" i="5"/>
  <c r="X321" i="5"/>
  <c r="X311" i="5"/>
  <c r="X303" i="5"/>
  <c r="X351" i="5"/>
  <c r="X316" i="5"/>
  <c r="X346" i="5"/>
  <c r="X344" i="5"/>
  <c r="X342" i="5"/>
  <c r="X334" i="5"/>
  <c r="X326" i="5"/>
  <c r="X306" i="5"/>
  <c r="X309" i="5"/>
  <c r="X296" i="5"/>
  <c r="X292" i="5"/>
  <c r="X288" i="5"/>
  <c r="X284" i="5"/>
  <c r="X280" i="5"/>
  <c r="X276" i="5"/>
  <c r="X272" i="5"/>
  <c r="X268" i="5"/>
  <c r="X314" i="5"/>
  <c r="X305" i="5"/>
  <c r="X300" i="5"/>
  <c r="X347" i="5"/>
  <c r="X317" i="5"/>
  <c r="X297" i="5"/>
  <c r="X293" i="5"/>
  <c r="X289" i="5"/>
  <c r="X335" i="5"/>
  <c r="X327" i="5"/>
  <c r="X313" i="5"/>
  <c r="X308" i="5"/>
  <c r="X340" i="5"/>
  <c r="X298" i="5"/>
  <c r="X294" i="5"/>
  <c r="X290" i="5"/>
  <c r="X286" i="5"/>
  <c r="X282" i="5"/>
  <c r="X278" i="5"/>
  <c r="X274" i="5"/>
  <c r="X270" i="5"/>
  <c r="X266" i="5"/>
  <c r="X262" i="5"/>
  <c r="X301" i="5"/>
  <c r="X254" i="5"/>
  <c r="X251" i="5"/>
  <c r="X295" i="5"/>
  <c r="X285" i="5"/>
  <c r="X277" i="5"/>
  <c r="X269" i="5"/>
  <c r="X261" i="5"/>
  <c r="X319" i="5"/>
  <c r="X258" i="5"/>
  <c r="X255" i="5"/>
  <c r="X283" i="5"/>
  <c r="X275" i="5"/>
  <c r="X267" i="5"/>
  <c r="X249" i="5"/>
  <c r="X281" i="5"/>
  <c r="X273" i="5"/>
  <c r="X265" i="5"/>
  <c r="X253" i="5"/>
  <c r="X291" i="5"/>
  <c r="X279" i="5"/>
  <c r="X250" i="5"/>
  <c r="X144" i="5"/>
  <c r="X142" i="5"/>
  <c r="X140" i="5"/>
  <c r="X138" i="5"/>
  <c r="X136" i="5"/>
  <c r="X134" i="5"/>
  <c r="X132" i="5"/>
  <c r="X130" i="5"/>
  <c r="X128" i="5"/>
  <c r="X126" i="5"/>
  <c r="X99" i="5"/>
  <c r="X98" i="5"/>
  <c r="X263" i="5"/>
  <c r="X173" i="5"/>
  <c r="X165" i="5"/>
  <c r="X157" i="5"/>
  <c r="X149" i="5"/>
  <c r="X100" i="5"/>
  <c r="X259" i="5"/>
  <c r="E5" i="7"/>
  <c r="Q11" i="5"/>
  <c r="Q12" i="5"/>
  <c r="Q13" i="5"/>
  <c r="X15" i="5"/>
  <c r="X17" i="5"/>
  <c r="X19" i="5"/>
  <c r="X21" i="5"/>
  <c r="X23" i="5"/>
  <c r="X25" i="5"/>
  <c r="X27" i="5"/>
  <c r="X29" i="5"/>
  <c r="X31" i="5"/>
  <c r="X33" i="5"/>
  <c r="X35" i="5"/>
  <c r="X37" i="5"/>
  <c r="X39" i="5"/>
  <c r="X41" i="5"/>
  <c r="X43" i="5"/>
  <c r="X45" i="5"/>
  <c r="X47" i="5"/>
  <c r="X49" i="5"/>
  <c r="X51" i="5"/>
  <c r="X53" i="5"/>
  <c r="X55" i="5"/>
  <c r="X57" i="5"/>
  <c r="X59" i="5"/>
  <c r="X61" i="5"/>
  <c r="X63" i="5"/>
  <c r="Q68" i="5"/>
  <c r="O68" i="5"/>
  <c r="X68" i="5"/>
  <c r="Q76" i="5"/>
  <c r="O76" i="5"/>
  <c r="X76" i="5"/>
  <c r="Q84" i="5"/>
  <c r="O84" i="5"/>
  <c r="X84" i="5"/>
  <c r="Q92" i="5"/>
  <c r="O92" i="5"/>
  <c r="X92" i="5"/>
  <c r="X104" i="5"/>
  <c r="O108" i="5"/>
  <c r="Q108" i="5"/>
  <c r="P108" i="5"/>
  <c r="N108" i="5"/>
  <c r="X120" i="5"/>
  <c r="O124" i="5"/>
  <c r="Q124" i="5"/>
  <c r="P124" i="5"/>
  <c r="N124" i="5"/>
  <c r="X125" i="5"/>
  <c r="O131" i="5"/>
  <c r="N131" i="5"/>
  <c r="Q131" i="5"/>
  <c r="X133" i="5"/>
  <c r="O139" i="5"/>
  <c r="N139" i="5"/>
  <c r="Q139" i="5"/>
  <c r="X141" i="5"/>
  <c r="X155" i="5"/>
  <c r="X171" i="5"/>
  <c r="S199" i="5"/>
  <c r="P230" i="5"/>
  <c r="N230" i="5"/>
  <c r="Q230" i="5"/>
  <c r="O230" i="5"/>
  <c r="X79" i="5"/>
  <c r="X87" i="5"/>
  <c r="X105" i="5"/>
  <c r="P137" i="5"/>
  <c r="O156" i="5"/>
  <c r="N156" i="5"/>
  <c r="Q156" i="5"/>
  <c r="P156" i="5"/>
  <c r="X159" i="5"/>
  <c r="X174" i="5"/>
  <c r="X175" i="5"/>
  <c r="Q177" i="5"/>
  <c r="P190" i="5"/>
  <c r="Q190" i="5"/>
  <c r="O190" i="5"/>
  <c r="Q70" i="5"/>
  <c r="O70" i="5"/>
  <c r="Q78" i="5"/>
  <c r="O78" i="5"/>
  <c r="Q17" i="5"/>
  <c r="O17" i="5"/>
  <c r="Q23" i="5"/>
  <c r="O23" i="5"/>
  <c r="Q25" i="5"/>
  <c r="O25" i="5"/>
  <c r="Q27" i="5"/>
  <c r="O27" i="5"/>
  <c r="Q37" i="5"/>
  <c r="O37" i="5"/>
  <c r="Q45" i="5"/>
  <c r="O45" i="5"/>
  <c r="I5" i="7"/>
  <c r="N70" i="5"/>
  <c r="Q71" i="5"/>
  <c r="O71" i="5"/>
  <c r="Q79" i="5"/>
  <c r="O79" i="5"/>
  <c r="Q87" i="5"/>
  <c r="O87" i="5"/>
  <c r="X95" i="5"/>
  <c r="O103" i="5"/>
  <c r="P103" i="5"/>
  <c r="N103" i="5"/>
  <c r="X115" i="5"/>
  <c r="O119" i="5"/>
  <c r="P119" i="5"/>
  <c r="N119" i="5"/>
  <c r="X121" i="5"/>
  <c r="P129" i="5"/>
  <c r="X158" i="5"/>
  <c r="P161" i="5"/>
  <c r="O172" i="5"/>
  <c r="N172" i="5"/>
  <c r="Q172" i="5"/>
  <c r="P172" i="5"/>
  <c r="X205" i="5"/>
  <c r="N206" i="5"/>
  <c r="P222" i="5"/>
  <c r="Q222" i="5"/>
  <c r="O222" i="5"/>
  <c r="N17" i="5"/>
  <c r="N19" i="5"/>
  <c r="N25" i="5"/>
  <c r="N27" i="5"/>
  <c r="N33" i="5"/>
  <c r="N35" i="5"/>
  <c r="N37" i="5"/>
  <c r="N43" i="5"/>
  <c r="N45" i="5"/>
  <c r="N47" i="5"/>
  <c r="N49" i="5"/>
  <c r="N51" i="5"/>
  <c r="N53" i="5"/>
  <c r="N55" i="5"/>
  <c r="N57" i="5"/>
  <c r="N59" i="5"/>
  <c r="N61" i="5"/>
  <c r="N63" i="5"/>
  <c r="N65" i="5"/>
  <c r="Q66" i="5"/>
  <c r="O66" i="5"/>
  <c r="X66" i="5"/>
  <c r="P70" i="5"/>
  <c r="N73" i="5"/>
  <c r="Q74" i="5"/>
  <c r="O74" i="5"/>
  <c r="X74" i="5"/>
  <c r="P78" i="5"/>
  <c r="N81" i="5"/>
  <c r="Q82" i="5"/>
  <c r="O82" i="5"/>
  <c r="X82" i="5"/>
  <c r="N89" i="5"/>
  <c r="Q90" i="5"/>
  <c r="O90" i="5"/>
  <c r="X90" i="5"/>
  <c r="P94" i="5"/>
  <c r="N97" i="5"/>
  <c r="Q98" i="5"/>
  <c r="P98" i="5"/>
  <c r="O98" i="5"/>
  <c r="O104" i="5"/>
  <c r="Q104" i="5"/>
  <c r="P104" i="5"/>
  <c r="N104" i="5"/>
  <c r="X116" i="5"/>
  <c r="O120" i="5"/>
  <c r="Q120" i="5"/>
  <c r="P120" i="5"/>
  <c r="N120" i="5"/>
  <c r="Q123" i="5"/>
  <c r="X127" i="5"/>
  <c r="O133" i="5"/>
  <c r="N133" i="5"/>
  <c r="Q133" i="5"/>
  <c r="X135" i="5"/>
  <c r="O141" i="5"/>
  <c r="N141" i="5"/>
  <c r="Q141" i="5"/>
  <c r="X143" i="5"/>
  <c r="O153" i="5"/>
  <c r="N153" i="5"/>
  <c r="Q153" i="5"/>
  <c r="O154" i="5"/>
  <c r="N154" i="5"/>
  <c r="Q154" i="5"/>
  <c r="P154" i="5"/>
  <c r="O169" i="5"/>
  <c r="N169" i="5"/>
  <c r="Q169" i="5"/>
  <c r="O170" i="5"/>
  <c r="N170" i="5"/>
  <c r="Q170" i="5"/>
  <c r="P170" i="5"/>
  <c r="X185" i="5"/>
  <c r="X217" i="5"/>
  <c r="X271" i="5"/>
  <c r="X299" i="5"/>
  <c r="Q14" i="5"/>
  <c r="O14" i="5"/>
  <c r="N15" i="5"/>
  <c r="N21" i="5"/>
  <c r="N23" i="5"/>
  <c r="N29" i="5"/>
  <c r="N31" i="5"/>
  <c r="N39" i="5"/>
  <c r="N41" i="5"/>
  <c r="Q16" i="5"/>
  <c r="O16" i="5"/>
  <c r="P17" i="5"/>
  <c r="Q18" i="5"/>
  <c r="O18" i="5"/>
  <c r="Q20" i="5"/>
  <c r="O20" i="5"/>
  <c r="Q22" i="5"/>
  <c r="O22" i="5"/>
  <c r="P23" i="5"/>
  <c r="Q24" i="5"/>
  <c r="O24" i="5"/>
  <c r="P25" i="5"/>
  <c r="Q26" i="5"/>
  <c r="O26" i="5"/>
  <c r="P27" i="5"/>
  <c r="Q28" i="5"/>
  <c r="O28" i="5"/>
  <c r="Q30" i="5"/>
  <c r="O30" i="5"/>
  <c r="Q32" i="5"/>
  <c r="O32" i="5"/>
  <c r="Q34" i="5"/>
  <c r="O34" i="5"/>
  <c r="Q36" i="5"/>
  <c r="O36" i="5"/>
  <c r="P37" i="5"/>
  <c r="Q38" i="5"/>
  <c r="O38" i="5"/>
  <c r="Q40" i="5"/>
  <c r="O40" i="5"/>
  <c r="Q42" i="5"/>
  <c r="O42" i="5"/>
  <c r="Q44" i="5"/>
  <c r="O44" i="5"/>
  <c r="P45" i="5"/>
  <c r="Q46" i="5"/>
  <c r="O46" i="5"/>
  <c r="Q48" i="5"/>
  <c r="O48" i="5"/>
  <c r="P49" i="5"/>
  <c r="Q50" i="5"/>
  <c r="O50" i="5"/>
  <c r="P51" i="5"/>
  <c r="Q52" i="5"/>
  <c r="O52" i="5"/>
  <c r="Q54" i="5"/>
  <c r="O54" i="5"/>
  <c r="Q56" i="5"/>
  <c r="O56" i="5"/>
  <c r="Q58" i="5"/>
  <c r="O58" i="5"/>
  <c r="P59" i="5"/>
  <c r="Q60" i="5"/>
  <c r="O60" i="5"/>
  <c r="Q62" i="5"/>
  <c r="O62" i="5"/>
  <c r="P63" i="5"/>
  <c r="Q64" i="5"/>
  <c r="O64" i="5"/>
  <c r="P65" i="5"/>
  <c r="N68" i="5"/>
  <c r="Q69" i="5"/>
  <c r="O69" i="5"/>
  <c r="X69" i="5"/>
  <c r="N76" i="5"/>
  <c r="Q77" i="5"/>
  <c r="O77" i="5"/>
  <c r="X77" i="5"/>
  <c r="N84" i="5"/>
  <c r="Q85" i="5"/>
  <c r="O85" i="5"/>
  <c r="X85" i="5"/>
  <c r="P89" i="5"/>
  <c r="N92" i="5"/>
  <c r="Q93" i="5"/>
  <c r="O93" i="5"/>
  <c r="X93" i="5"/>
  <c r="P97" i="5"/>
  <c r="Q99" i="5"/>
  <c r="P99" i="5"/>
  <c r="O99" i="5"/>
  <c r="X101" i="5"/>
  <c r="X111" i="5"/>
  <c r="O115" i="5"/>
  <c r="P115" i="5"/>
  <c r="N115" i="5"/>
  <c r="X117" i="5"/>
  <c r="P131" i="5"/>
  <c r="P139" i="5"/>
  <c r="X145" i="5"/>
  <c r="X148" i="5"/>
  <c r="X160" i="5"/>
  <c r="X161" i="5"/>
  <c r="X164" i="5"/>
  <c r="X176" i="5"/>
  <c r="S183" i="5"/>
  <c r="S200" i="5"/>
  <c r="S215" i="5"/>
  <c r="X287" i="5"/>
  <c r="Q81" i="5"/>
  <c r="O81" i="5"/>
  <c r="X71" i="5"/>
  <c r="N78" i="5"/>
  <c r="N94" i="5"/>
  <c r="Q95" i="5"/>
  <c r="O95" i="5"/>
  <c r="X14" i="5"/>
  <c r="X18" i="5"/>
  <c r="X22" i="5"/>
  <c r="X24" i="5"/>
  <c r="X30" i="5"/>
  <c r="X34" i="5"/>
  <c r="X36" i="5"/>
  <c r="X38" i="5"/>
  <c r="X40" i="5"/>
  <c r="X42" i="5"/>
  <c r="X44" i="5"/>
  <c r="X46" i="5"/>
  <c r="X48" i="5"/>
  <c r="X50" i="5"/>
  <c r="X52" i="5"/>
  <c r="X54" i="5"/>
  <c r="X56" i="5"/>
  <c r="X58" i="5"/>
  <c r="X60" i="5"/>
  <c r="X62" i="5"/>
  <c r="X64" i="5"/>
  <c r="N71" i="5"/>
  <c r="Q72" i="5"/>
  <c r="O72" i="5"/>
  <c r="X72" i="5"/>
  <c r="N79" i="5"/>
  <c r="Q80" i="5"/>
  <c r="O80" i="5"/>
  <c r="X80" i="5"/>
  <c r="N87" i="5"/>
  <c r="Q88" i="5"/>
  <c r="O88" i="5"/>
  <c r="X88" i="5"/>
  <c r="N95" i="5"/>
  <c r="Q96" i="5"/>
  <c r="O96" i="5"/>
  <c r="X96" i="5"/>
  <c r="Q100" i="5"/>
  <c r="P100" i="5"/>
  <c r="O100" i="5"/>
  <c r="Q103" i="5"/>
  <c r="X106" i="5"/>
  <c r="X112" i="5"/>
  <c r="O116" i="5"/>
  <c r="Q116" i="5"/>
  <c r="P116" i="5"/>
  <c r="N116" i="5"/>
  <c r="Q119" i="5"/>
  <c r="X122" i="5"/>
  <c r="O127" i="5"/>
  <c r="N127" i="5"/>
  <c r="Q127" i="5"/>
  <c r="X129" i="5"/>
  <c r="O135" i="5"/>
  <c r="N135" i="5"/>
  <c r="Q135" i="5"/>
  <c r="X137" i="5"/>
  <c r="O143" i="5"/>
  <c r="N143" i="5"/>
  <c r="Q143" i="5"/>
  <c r="X147" i="5"/>
  <c r="X163" i="5"/>
  <c r="X189" i="5"/>
  <c r="N190" i="5"/>
  <c r="X221" i="5"/>
  <c r="N222" i="5"/>
  <c r="X257" i="5"/>
  <c r="Q86" i="5"/>
  <c r="O86" i="5"/>
  <c r="Q15" i="5"/>
  <c r="O15" i="5"/>
  <c r="Q19" i="5"/>
  <c r="O19" i="5"/>
  <c r="B9" i="6" s="1"/>
  <c r="Q21" i="5"/>
  <c r="O21" i="5"/>
  <c r="Q29" i="5"/>
  <c r="O29" i="5"/>
  <c r="Q31" i="5"/>
  <c r="O31" i="5"/>
  <c r="Q33" i="5"/>
  <c r="O33" i="5"/>
  <c r="Q35" i="5"/>
  <c r="O35" i="5"/>
  <c r="Q39" i="5"/>
  <c r="O39" i="5"/>
  <c r="Q41" i="5"/>
  <c r="O41" i="5"/>
  <c r="Q43" i="5"/>
  <c r="O43" i="5"/>
  <c r="Q47" i="5"/>
  <c r="O47" i="5"/>
  <c r="Q53" i="5"/>
  <c r="O53" i="5"/>
  <c r="Q55" i="5"/>
  <c r="O55" i="5"/>
  <c r="Q57" i="5"/>
  <c r="O57" i="5"/>
  <c r="Q61" i="5"/>
  <c r="O61" i="5"/>
  <c r="Q73" i="5"/>
  <c r="O73" i="5"/>
  <c r="O107" i="5"/>
  <c r="P107" i="5"/>
  <c r="N107" i="5"/>
  <c r="N86" i="5"/>
  <c r="X16" i="5"/>
  <c r="X20" i="5"/>
  <c r="X26" i="5"/>
  <c r="X28" i="5"/>
  <c r="X32" i="5"/>
  <c r="N14" i="5"/>
  <c r="N66" i="5"/>
  <c r="Q67" i="5"/>
  <c r="O67" i="5"/>
  <c r="X67" i="5"/>
  <c r="P71" i="5"/>
  <c r="N74" i="5"/>
  <c r="Q75" i="5"/>
  <c r="O75" i="5"/>
  <c r="X75" i="5"/>
  <c r="P79" i="5"/>
  <c r="N82" i="5"/>
  <c r="Q83" i="5"/>
  <c r="O83" i="5"/>
  <c r="X83" i="5"/>
  <c r="P87" i="5"/>
  <c r="N90" i="5"/>
  <c r="Q91" i="5"/>
  <c r="O91" i="5"/>
  <c r="X91" i="5"/>
  <c r="P95" i="5"/>
  <c r="N98" i="5"/>
  <c r="X107" i="5"/>
  <c r="O111" i="5"/>
  <c r="P111" i="5"/>
  <c r="N111" i="5"/>
  <c r="X113" i="5"/>
  <c r="X123" i="5"/>
  <c r="P133" i="5"/>
  <c r="P141" i="5"/>
  <c r="O148" i="5"/>
  <c r="N148" i="5"/>
  <c r="Q148" i="5"/>
  <c r="P148" i="5"/>
  <c r="X150" i="5"/>
  <c r="X151" i="5"/>
  <c r="P153" i="5"/>
  <c r="O164" i="5"/>
  <c r="N164" i="5"/>
  <c r="Q164" i="5"/>
  <c r="P164" i="5"/>
  <c r="X166" i="5"/>
  <c r="X167" i="5"/>
  <c r="P169" i="5"/>
  <c r="X235" i="5"/>
  <c r="N101" i="5"/>
  <c r="Q102" i="5"/>
  <c r="N105" i="5"/>
  <c r="Q106" i="5"/>
  <c r="N109" i="5"/>
  <c r="Q110" i="5"/>
  <c r="N113" i="5"/>
  <c r="Q114" i="5"/>
  <c r="N117" i="5"/>
  <c r="Q118" i="5"/>
  <c r="N121" i="5"/>
  <c r="Q122" i="5"/>
  <c r="N125" i="5"/>
  <c r="O151" i="5"/>
  <c r="N151" i="5"/>
  <c r="O159" i="5"/>
  <c r="N159" i="5"/>
  <c r="O167" i="5"/>
  <c r="N167" i="5"/>
  <c r="O175" i="5"/>
  <c r="N175" i="5"/>
  <c r="P194" i="5"/>
  <c r="Q194" i="5"/>
  <c r="O194" i="5"/>
  <c r="P210" i="5"/>
  <c r="Q210" i="5"/>
  <c r="O210" i="5"/>
  <c r="P226" i="5"/>
  <c r="Q226" i="5"/>
  <c r="O226" i="5"/>
  <c r="X241" i="5"/>
  <c r="P244" i="5"/>
  <c r="N244" i="5"/>
  <c r="Q244" i="5"/>
  <c r="O244" i="5"/>
  <c r="Q101" i="5"/>
  <c r="Q105" i="5"/>
  <c r="Q109" i="5"/>
  <c r="Q113" i="5"/>
  <c r="Q117" i="5"/>
  <c r="Q121" i="5"/>
  <c r="Q125" i="5"/>
  <c r="O126" i="5"/>
  <c r="N126" i="5"/>
  <c r="O128" i="5"/>
  <c r="N128" i="5"/>
  <c r="O130" i="5"/>
  <c r="N130" i="5"/>
  <c r="O132" i="5"/>
  <c r="N132" i="5"/>
  <c r="O134" i="5"/>
  <c r="N134" i="5"/>
  <c r="O136" i="5"/>
  <c r="N136" i="5"/>
  <c r="O138" i="5"/>
  <c r="N138" i="5"/>
  <c r="O140" i="5"/>
  <c r="N140" i="5"/>
  <c r="O142" i="5"/>
  <c r="N142" i="5"/>
  <c r="O144" i="5"/>
  <c r="N144" i="5"/>
  <c r="O149" i="5"/>
  <c r="N149" i="5"/>
  <c r="O157" i="5"/>
  <c r="N157" i="5"/>
  <c r="O165" i="5"/>
  <c r="N165" i="5"/>
  <c r="O173" i="5"/>
  <c r="N173" i="5"/>
  <c r="P182" i="5"/>
  <c r="Q182" i="5"/>
  <c r="O182" i="5"/>
  <c r="P198" i="5"/>
  <c r="Q198" i="5"/>
  <c r="O198" i="5"/>
  <c r="P214" i="5"/>
  <c r="Q214" i="5"/>
  <c r="O214" i="5"/>
  <c r="X229" i="5"/>
  <c r="X233" i="5"/>
  <c r="X237" i="5"/>
  <c r="P240" i="5"/>
  <c r="N240" i="5"/>
  <c r="Q240" i="5"/>
  <c r="O240" i="5"/>
  <c r="X252" i="5"/>
  <c r="O152" i="5"/>
  <c r="N152" i="5"/>
  <c r="O160" i="5"/>
  <c r="N160" i="5"/>
  <c r="O168" i="5"/>
  <c r="N168" i="5"/>
  <c r="O176" i="5"/>
  <c r="N176" i="5"/>
  <c r="X193" i="5"/>
  <c r="X209" i="5"/>
  <c r="X225" i="5"/>
  <c r="P228" i="5"/>
  <c r="N228" i="5"/>
  <c r="Q228" i="5"/>
  <c r="O228" i="5"/>
  <c r="P232" i="5"/>
  <c r="N232" i="5"/>
  <c r="Q232" i="5"/>
  <c r="O232" i="5"/>
  <c r="P236" i="5"/>
  <c r="N236" i="5"/>
  <c r="Q236" i="5"/>
  <c r="O236" i="5"/>
  <c r="X243" i="5"/>
  <c r="P246" i="5"/>
  <c r="N246" i="5"/>
  <c r="Q246" i="5"/>
  <c r="O246" i="5"/>
  <c r="S263" i="5"/>
  <c r="X264" i="5"/>
  <c r="O147" i="5"/>
  <c r="E6" i="6" s="1"/>
  <c r="N147" i="5"/>
  <c r="O155" i="5"/>
  <c r="N155" i="5"/>
  <c r="O163" i="5"/>
  <c r="N163" i="5"/>
  <c r="O171" i="5"/>
  <c r="N171" i="5"/>
  <c r="X177" i="5"/>
  <c r="P186" i="5"/>
  <c r="Q186" i="5"/>
  <c r="O186" i="5"/>
  <c r="P202" i="5"/>
  <c r="Q202" i="5"/>
  <c r="O202" i="5"/>
  <c r="P218" i="5"/>
  <c r="Q218" i="5"/>
  <c r="O218" i="5"/>
  <c r="O150" i="5"/>
  <c r="N150" i="5"/>
  <c r="O158" i="5"/>
  <c r="N158" i="5"/>
  <c r="O166" i="5"/>
  <c r="N166" i="5"/>
  <c r="O174" i="5"/>
  <c r="N174" i="5"/>
  <c r="X181" i="5"/>
  <c r="X197" i="5"/>
  <c r="X213" i="5"/>
  <c r="N214" i="5"/>
  <c r="X239" i="5"/>
  <c r="P242" i="5"/>
  <c r="N242" i="5"/>
  <c r="Q242" i="5"/>
  <c r="O242" i="5"/>
  <c r="P248" i="5"/>
  <c r="O248" i="5"/>
  <c r="N248" i="5"/>
  <c r="O179" i="5"/>
  <c r="X180" i="5"/>
  <c r="O183" i="5"/>
  <c r="X184" i="5"/>
  <c r="O187" i="5"/>
  <c r="X188" i="5"/>
  <c r="O191" i="5"/>
  <c r="X192" i="5"/>
  <c r="O195" i="5"/>
  <c r="X196" i="5"/>
  <c r="O199" i="5"/>
  <c r="X200" i="5"/>
  <c r="O203" i="5"/>
  <c r="X204" i="5"/>
  <c r="O207" i="5"/>
  <c r="X208" i="5"/>
  <c r="O211" i="5"/>
  <c r="X212" i="5"/>
  <c r="O215" i="5"/>
  <c r="X216" i="5"/>
  <c r="O219" i="5"/>
  <c r="X220" i="5"/>
  <c r="O223" i="5"/>
  <c r="X224" i="5"/>
  <c r="X179" i="5"/>
  <c r="X183" i="5"/>
  <c r="X187" i="5"/>
  <c r="X191" i="5"/>
  <c r="X195" i="5"/>
  <c r="X199" i="5"/>
  <c r="X203" i="5"/>
  <c r="X207" i="5"/>
  <c r="X211" i="5"/>
  <c r="X215" i="5"/>
  <c r="X219" i="5"/>
  <c r="X223" i="5"/>
  <c r="S259" i="5"/>
  <c r="X260" i="5"/>
  <c r="N181" i="5"/>
  <c r="N185" i="5"/>
  <c r="N189" i="5"/>
  <c r="N193" i="5"/>
  <c r="N197" i="5"/>
  <c r="N201" i="5"/>
  <c r="N205" i="5"/>
  <c r="N209" i="5"/>
  <c r="N213" i="5"/>
  <c r="N217" i="5"/>
  <c r="N221" i="5"/>
  <c r="N225" i="5"/>
  <c r="P227" i="5"/>
  <c r="N227" i="5"/>
  <c r="P229" i="5"/>
  <c r="N229" i="5"/>
  <c r="P231" i="5"/>
  <c r="N231" i="5"/>
  <c r="P233" i="5"/>
  <c r="N233" i="5"/>
  <c r="P235" i="5"/>
  <c r="N235" i="5"/>
  <c r="P237" i="5"/>
  <c r="N237" i="5"/>
  <c r="P239" i="5"/>
  <c r="N239" i="5"/>
  <c r="P241" i="5"/>
  <c r="N241" i="5"/>
  <c r="P243" i="5"/>
  <c r="N243" i="5"/>
  <c r="P245" i="5"/>
  <c r="N245" i="5"/>
  <c r="P247" i="5"/>
  <c r="N247" i="5"/>
  <c r="S267" i="5"/>
  <c r="X178" i="5"/>
  <c r="X182" i="5"/>
  <c r="X186" i="5"/>
  <c r="X190" i="5"/>
  <c r="X194" i="5"/>
  <c r="X198" i="5"/>
  <c r="X202" i="5"/>
  <c r="X206" i="5"/>
  <c r="X210" i="5"/>
  <c r="X214" i="5"/>
  <c r="X218" i="5"/>
  <c r="X222" i="5"/>
  <c r="X226" i="5"/>
  <c r="X248" i="5"/>
  <c r="X256" i="5"/>
  <c r="X228" i="5"/>
  <c r="X230" i="5"/>
  <c r="X232" i="5"/>
  <c r="X234" i="5"/>
  <c r="X236" i="5"/>
  <c r="X238" i="5"/>
  <c r="X240" i="5"/>
  <c r="X242" i="5"/>
  <c r="X244" i="5"/>
  <c r="X246" i="5"/>
  <c r="Q315" i="5"/>
  <c r="O315" i="5"/>
  <c r="N315" i="5"/>
  <c r="P315" i="5"/>
  <c r="Q319" i="5"/>
  <c r="O319" i="5"/>
  <c r="P319" i="5"/>
  <c r="N319" i="5"/>
  <c r="Q307" i="5"/>
  <c r="O307" i="5"/>
  <c r="N307" i="5"/>
  <c r="Q311" i="5"/>
  <c r="O311" i="5"/>
  <c r="Q316" i="5"/>
  <c r="O316" i="5"/>
  <c r="P316" i="5"/>
  <c r="X330" i="5"/>
  <c r="X333" i="5"/>
  <c r="X338" i="5"/>
  <c r="X350" i="5"/>
  <c r="X352" i="5"/>
  <c r="S250" i="5"/>
  <c r="S254" i="5"/>
  <c r="S258" i="5"/>
  <c r="S262" i="5"/>
  <c r="S266" i="5"/>
  <c r="S270" i="5"/>
  <c r="S274" i="5"/>
  <c r="S278" i="5"/>
  <c r="S282" i="5"/>
  <c r="S286" i="5"/>
  <c r="S290" i="5"/>
  <c r="S294" i="5"/>
  <c r="S298" i="5"/>
  <c r="Q302" i="5"/>
  <c r="O302" i="5"/>
  <c r="P302" i="5"/>
  <c r="N302" i="5"/>
  <c r="X353" i="5"/>
  <c r="X400" i="5"/>
  <c r="Q303" i="5"/>
  <c r="O303" i="5"/>
  <c r="Q308" i="5"/>
  <c r="O308" i="5"/>
  <c r="P308" i="5"/>
  <c r="X372" i="5"/>
  <c r="X380" i="5"/>
  <c r="S249" i="5"/>
  <c r="S253" i="5"/>
  <c r="S257" i="5"/>
  <c r="S261" i="5"/>
  <c r="S265" i="5"/>
  <c r="S269" i="5"/>
  <c r="S273" i="5"/>
  <c r="S277" i="5"/>
  <c r="S281" i="5"/>
  <c r="S285" i="5"/>
  <c r="S289" i="5"/>
  <c r="P307" i="5"/>
  <c r="N311" i="5"/>
  <c r="N316" i="5"/>
  <c r="X367" i="5"/>
  <c r="X396" i="5"/>
  <c r="P311" i="5"/>
  <c r="S252" i="5"/>
  <c r="S256" i="5"/>
  <c r="S260" i="5"/>
  <c r="S264" i="5"/>
  <c r="S268" i="5"/>
  <c r="S272" i="5"/>
  <c r="S276" i="5"/>
  <c r="S280" i="5"/>
  <c r="S284" i="5"/>
  <c r="S288" i="5"/>
  <c r="S292" i="5"/>
  <c r="S296" i="5"/>
  <c r="S300" i="5"/>
  <c r="N303" i="5"/>
  <c r="N308" i="5"/>
  <c r="Q318" i="5"/>
  <c r="O318" i="5"/>
  <c r="P318" i="5"/>
  <c r="N318" i="5"/>
  <c r="S320" i="5"/>
  <c r="X322" i="5"/>
  <c r="S325" i="5"/>
  <c r="S358" i="5"/>
  <c r="X373" i="5"/>
  <c r="X381" i="5"/>
  <c r="P383" i="5"/>
  <c r="Q383" i="5"/>
  <c r="O383" i="5"/>
  <c r="N383" i="5"/>
  <c r="P387" i="5"/>
  <c r="Q387" i="5"/>
  <c r="O387" i="5"/>
  <c r="N387" i="5"/>
  <c r="P391" i="5"/>
  <c r="Q391" i="5"/>
  <c r="O391" i="5"/>
  <c r="N391" i="5"/>
  <c r="X355" i="5"/>
  <c r="S271" i="5"/>
  <c r="S275" i="5"/>
  <c r="S279" i="5"/>
  <c r="S283" i="5"/>
  <c r="S287" i="5"/>
  <c r="S291" i="5"/>
  <c r="S295" i="5"/>
  <c r="S299" i="5"/>
  <c r="Q310" i="5"/>
  <c r="O310" i="5"/>
  <c r="P310" i="5"/>
  <c r="N310" i="5"/>
  <c r="X325" i="5"/>
  <c r="S341" i="5"/>
  <c r="X363" i="5"/>
  <c r="Q305" i="5"/>
  <c r="O305" i="5"/>
  <c r="Q313" i="5"/>
  <c r="O313" i="5"/>
  <c r="X341" i="5"/>
  <c r="X365" i="5"/>
  <c r="X370" i="5"/>
  <c r="X378" i="5"/>
  <c r="S385" i="5"/>
  <c r="S389" i="5"/>
  <c r="X463" i="5"/>
  <c r="X464" i="5"/>
  <c r="S332" i="5"/>
  <c r="X345" i="5"/>
  <c r="X361" i="5"/>
  <c r="P411" i="5"/>
  <c r="O411" i="5"/>
  <c r="N411" i="5"/>
  <c r="Q411" i="5"/>
  <c r="Q304" i="5"/>
  <c r="O304" i="5"/>
  <c r="N305" i="5"/>
  <c r="Q312" i="5"/>
  <c r="O312" i="5"/>
  <c r="N313" i="5"/>
  <c r="S321" i="5"/>
  <c r="S329" i="5"/>
  <c r="S337" i="5"/>
  <c r="S344" i="5"/>
  <c r="X349" i="5"/>
  <c r="X359" i="5"/>
  <c r="S362" i="5"/>
  <c r="Q301" i="5"/>
  <c r="O301" i="5"/>
  <c r="P305" i="5"/>
  <c r="Q309" i="5"/>
  <c r="O309" i="5"/>
  <c r="P313" i="5"/>
  <c r="Q317" i="5"/>
  <c r="O317" i="5"/>
  <c r="S360" i="5"/>
  <c r="X408" i="5"/>
  <c r="Q306" i="5"/>
  <c r="O306" i="5"/>
  <c r="Q314" i="5"/>
  <c r="O314" i="5"/>
  <c r="S348" i="5"/>
  <c r="S352" i="5"/>
  <c r="X357" i="5"/>
  <c r="X404" i="5"/>
  <c r="S373" i="5"/>
  <c r="X375" i="5"/>
  <c r="S381" i="5"/>
  <c r="P386" i="5"/>
  <c r="O386" i="5"/>
  <c r="N386" i="5"/>
  <c r="P390" i="5"/>
  <c r="O390" i="5"/>
  <c r="N390" i="5"/>
  <c r="P410" i="5"/>
  <c r="Q410" i="5"/>
  <c r="O410" i="5"/>
  <c r="P418" i="5"/>
  <c r="Q418" i="5"/>
  <c r="O418" i="5"/>
  <c r="X451" i="5"/>
  <c r="X487" i="5"/>
  <c r="X492" i="5"/>
  <c r="X500" i="5"/>
  <c r="X501" i="5"/>
  <c r="X488" i="5"/>
  <c r="X494" i="5"/>
  <c r="S319" i="5"/>
  <c r="S323" i="5"/>
  <c r="S327" i="5"/>
  <c r="S331" i="5"/>
  <c r="S335" i="5"/>
  <c r="S339" i="5"/>
  <c r="S343" i="5"/>
  <c r="S347" i="5"/>
  <c r="S351" i="5"/>
  <c r="X354" i="5"/>
  <c r="X356" i="5"/>
  <c r="X358" i="5"/>
  <c r="X360" i="5"/>
  <c r="X362" i="5"/>
  <c r="X364" i="5"/>
  <c r="X366" i="5"/>
  <c r="X368" i="5"/>
  <c r="S374" i="5"/>
  <c r="X376" i="5"/>
  <c r="S382" i="5"/>
  <c r="X385" i="5"/>
  <c r="X389" i="5"/>
  <c r="X393" i="5"/>
  <c r="N410" i="5"/>
  <c r="N418" i="5"/>
  <c r="P434" i="5"/>
  <c r="Q434" i="5"/>
  <c r="O434" i="5"/>
  <c r="X480" i="5"/>
  <c r="X496" i="5"/>
  <c r="X497" i="5"/>
  <c r="S369" i="5"/>
  <c r="X371" i="5"/>
  <c r="S377" i="5"/>
  <c r="X379" i="5"/>
  <c r="X413" i="5"/>
  <c r="S322" i="5"/>
  <c r="S326" i="5"/>
  <c r="S330" i="5"/>
  <c r="S334" i="5"/>
  <c r="S338" i="5"/>
  <c r="S342" i="5"/>
  <c r="S346" i="5"/>
  <c r="S350" i="5"/>
  <c r="S353" i="5"/>
  <c r="S355" i="5"/>
  <c r="S357" i="5"/>
  <c r="S359" i="5"/>
  <c r="S361" i="5"/>
  <c r="S363" i="5"/>
  <c r="S365" i="5"/>
  <c r="S367" i="5"/>
  <c r="X374" i="5"/>
  <c r="X382" i="5"/>
  <c r="X394" i="5"/>
  <c r="X398" i="5"/>
  <c r="X402" i="5"/>
  <c r="X406" i="5"/>
  <c r="X414" i="5"/>
  <c r="X438" i="5"/>
  <c r="X454" i="5"/>
  <c r="X369" i="5"/>
  <c r="S375" i="5"/>
  <c r="X377" i="5"/>
  <c r="X386" i="5"/>
  <c r="X390" i="5"/>
  <c r="X425" i="5"/>
  <c r="S427" i="5"/>
  <c r="N434" i="5"/>
  <c r="N384" i="5"/>
  <c r="Q385" i="5"/>
  <c r="N388" i="5"/>
  <c r="Q389" i="5"/>
  <c r="N392" i="5"/>
  <c r="Q393" i="5"/>
  <c r="P394" i="5"/>
  <c r="Q394" i="5"/>
  <c r="O394" i="5"/>
  <c r="S395" i="5"/>
  <c r="O395" i="5"/>
  <c r="P398" i="5"/>
  <c r="Q398" i="5"/>
  <c r="O398" i="5"/>
  <c r="S399" i="5"/>
  <c r="O399" i="5"/>
  <c r="P402" i="5"/>
  <c r="Q402" i="5"/>
  <c r="O402" i="5"/>
  <c r="S403" i="5"/>
  <c r="O403" i="5"/>
  <c r="P406" i="5"/>
  <c r="Q406" i="5"/>
  <c r="O406" i="5"/>
  <c r="S407" i="5"/>
  <c r="O407" i="5"/>
  <c r="P422" i="5"/>
  <c r="Q422" i="5"/>
  <c r="O422" i="5"/>
  <c r="X429" i="5"/>
  <c r="X446" i="5"/>
  <c r="X459" i="5"/>
  <c r="S460" i="5"/>
  <c r="O464" i="5"/>
  <c r="P464" i="5"/>
  <c r="N464" i="5"/>
  <c r="Q464" i="5"/>
  <c r="O465" i="5"/>
  <c r="Q465" i="5"/>
  <c r="P465" i="5"/>
  <c r="N465" i="5"/>
  <c r="Q384" i="5"/>
  <c r="Q388" i="5"/>
  <c r="X409" i="5"/>
  <c r="X417" i="5"/>
  <c r="P426" i="5"/>
  <c r="Q426" i="5"/>
  <c r="O426" i="5"/>
  <c r="X433" i="5"/>
  <c r="P437" i="5"/>
  <c r="N437" i="5"/>
  <c r="Q437" i="5"/>
  <c r="X443" i="5"/>
  <c r="X384" i="5"/>
  <c r="X388" i="5"/>
  <c r="X392" i="5"/>
  <c r="X397" i="5"/>
  <c r="X401" i="5"/>
  <c r="X405" i="5"/>
  <c r="X412" i="5"/>
  <c r="P414" i="5"/>
  <c r="Q414" i="5"/>
  <c r="O414" i="5"/>
  <c r="S435" i="5"/>
  <c r="X452" i="5"/>
  <c r="O468" i="5"/>
  <c r="P468" i="5"/>
  <c r="N468" i="5"/>
  <c r="Q468" i="5"/>
  <c r="O469" i="5"/>
  <c r="Q469" i="5"/>
  <c r="P469" i="5"/>
  <c r="P409" i="5"/>
  <c r="Q409" i="5"/>
  <c r="N409" i="5"/>
  <c r="X410" i="5"/>
  <c r="X421" i="5"/>
  <c r="P430" i="5"/>
  <c r="Q430" i="5"/>
  <c r="O430" i="5"/>
  <c r="X444" i="5"/>
  <c r="X383" i="5"/>
  <c r="X387" i="5"/>
  <c r="X391" i="5"/>
  <c r="P397" i="5"/>
  <c r="N397" i="5"/>
  <c r="P401" i="5"/>
  <c r="N401" i="5"/>
  <c r="P405" i="5"/>
  <c r="N405" i="5"/>
  <c r="S411" i="5"/>
  <c r="P415" i="5"/>
  <c r="O415" i="5"/>
  <c r="N426" i="5"/>
  <c r="S436" i="5"/>
  <c r="O437" i="5"/>
  <c r="S441" i="5"/>
  <c r="X416" i="5"/>
  <c r="O419" i="5"/>
  <c r="X420" i="5"/>
  <c r="O423" i="5"/>
  <c r="X424" i="5"/>
  <c r="O427" i="5"/>
  <c r="X428" i="5"/>
  <c r="O431" i="5"/>
  <c r="X432" i="5"/>
  <c r="O435" i="5"/>
  <c r="X436" i="5"/>
  <c r="S439" i="5"/>
  <c r="X441" i="5"/>
  <c r="S447" i="5"/>
  <c r="X449" i="5"/>
  <c r="S455" i="5"/>
  <c r="X457" i="5"/>
  <c r="X460" i="5"/>
  <c r="S461" i="5"/>
  <c r="X466" i="5"/>
  <c r="X471" i="5"/>
  <c r="O475" i="5"/>
  <c r="N475" i="5"/>
  <c r="P475" i="5"/>
  <c r="X477" i="5"/>
  <c r="X478" i="5"/>
  <c r="X479" i="5"/>
  <c r="X489" i="5"/>
  <c r="X395" i="5"/>
  <c r="X399" i="5"/>
  <c r="X403" i="5"/>
  <c r="X407" i="5"/>
  <c r="X411" i="5"/>
  <c r="X415" i="5"/>
  <c r="X419" i="5"/>
  <c r="X423" i="5"/>
  <c r="X427" i="5"/>
  <c r="X431" i="5"/>
  <c r="X435" i="5"/>
  <c r="P436" i="5"/>
  <c r="N436" i="5"/>
  <c r="S437" i="5"/>
  <c r="X439" i="5"/>
  <c r="S445" i="5"/>
  <c r="X447" i="5"/>
  <c r="S453" i="5"/>
  <c r="X455" i="5"/>
  <c r="X461" i="5"/>
  <c r="S462" i="5"/>
  <c r="X472" i="5"/>
  <c r="O476" i="5"/>
  <c r="Q476" i="5"/>
  <c r="P476" i="5"/>
  <c r="N413" i="5"/>
  <c r="N417" i="5"/>
  <c r="N421" i="5"/>
  <c r="N425" i="5"/>
  <c r="N429" i="5"/>
  <c r="N433" i="5"/>
  <c r="X442" i="5"/>
  <c r="X450" i="5"/>
  <c r="X458" i="5"/>
  <c r="X467" i="5"/>
  <c r="Q475" i="5"/>
  <c r="X418" i="5"/>
  <c r="X422" i="5"/>
  <c r="X426" i="5"/>
  <c r="X430" i="5"/>
  <c r="X434" i="5"/>
  <c r="X437" i="5"/>
  <c r="X445" i="5"/>
  <c r="X453" i="5"/>
  <c r="X462" i="5"/>
  <c r="X468" i="5"/>
  <c r="O472" i="5"/>
  <c r="P472" i="5"/>
  <c r="N472" i="5"/>
  <c r="Q472" i="5"/>
  <c r="O473" i="5"/>
  <c r="Q473" i="5"/>
  <c r="P473" i="5"/>
  <c r="Q413" i="5"/>
  <c r="Q417" i="5"/>
  <c r="Q421" i="5"/>
  <c r="Q425" i="5"/>
  <c r="Q429" i="5"/>
  <c r="Q433" i="5"/>
  <c r="S438" i="5"/>
  <c r="X440" i="5"/>
  <c r="S446" i="5"/>
  <c r="X448" i="5"/>
  <c r="S454" i="5"/>
  <c r="X456" i="5"/>
  <c r="X470" i="5"/>
  <c r="X493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7" i="5"/>
  <c r="Q478" i="5"/>
  <c r="O494" i="5"/>
  <c r="N494" i="5"/>
  <c r="O489" i="5"/>
  <c r="N489" i="5"/>
  <c r="O497" i="5"/>
  <c r="N497" i="5"/>
  <c r="Q463" i="5"/>
  <c r="Q467" i="5"/>
  <c r="Q471" i="5"/>
  <c r="P477" i="5"/>
  <c r="Q480" i="5"/>
  <c r="N482" i="5"/>
  <c r="P485" i="5"/>
  <c r="Q488" i="5"/>
  <c r="P491" i="5"/>
  <c r="O492" i="5"/>
  <c r="N492" i="5"/>
  <c r="P499" i="5"/>
  <c r="O500" i="5"/>
  <c r="N500" i="5"/>
  <c r="O495" i="5"/>
  <c r="N495" i="5"/>
  <c r="O490" i="5"/>
  <c r="N490" i="5"/>
  <c r="O498" i="5"/>
  <c r="N498" i="5"/>
  <c r="Q479" i="5"/>
  <c r="Q489" i="5"/>
  <c r="P492" i="5"/>
  <c r="O493" i="5"/>
  <c r="N493" i="5"/>
  <c r="Q497" i="5"/>
  <c r="P500" i="5"/>
  <c r="O501" i="5"/>
  <c r="N501" i="5"/>
  <c r="N478" i="5"/>
  <c r="N486" i="5"/>
  <c r="P495" i="5"/>
  <c r="O496" i="5"/>
  <c r="N496" i="5"/>
  <c r="Q500" i="5"/>
  <c r="P478" i="5"/>
  <c r="O491" i="5"/>
  <c r="N491" i="5"/>
  <c r="O499" i="5"/>
  <c r="N499" i="5"/>
  <c r="E7" i="6" l="1"/>
  <c r="M5" i="7"/>
  <c r="C7" i="6"/>
  <c r="C9" i="6"/>
  <c r="E5" i="6"/>
  <c r="D7" i="6"/>
  <c r="B7" i="6"/>
  <c r="D6" i="6"/>
  <c r="B5" i="6"/>
  <c r="C8" i="6"/>
  <c r="B8" i="6"/>
  <c r="D8" i="6"/>
  <c r="D9" i="6"/>
  <c r="D5" i="6"/>
  <c r="C5" i="6"/>
  <c r="E8" i="6"/>
  <c r="C6" i="6"/>
  <c r="B6" i="6"/>
  <c r="E9" i="6"/>
</calcChain>
</file>

<file path=xl/sharedStrings.xml><?xml version="1.0" encoding="utf-8"?>
<sst xmlns="http://schemas.openxmlformats.org/spreadsheetml/2006/main" count="4238" uniqueCount="675">
  <si>
    <t>Customer Support &amp; Quality Analysis</t>
  </si>
  <si>
    <t>Tickets</t>
  </si>
  <si>
    <t>Formula Guide</t>
  </si>
  <si>
    <t>Column</t>
  </si>
  <si>
    <t>Formula</t>
  </si>
  <si>
    <t>Returns</t>
  </si>
  <si>
    <t>Reason</t>
  </si>
  <si>
    <t>Agent Name</t>
  </si>
  <si>
    <t>=VLOOKUP(...)</t>
  </si>
  <si>
    <t>Agent name</t>
  </si>
  <si>
    <t>Connect tickets with agents</t>
  </si>
  <si>
    <t>Team</t>
  </si>
  <si>
    <t>=INDEX/MATCH(...)</t>
  </si>
  <si>
    <t>Support team</t>
  </si>
  <si>
    <t>Demonstrate alternate lookup</t>
  </si>
  <si>
    <t>SLA Target</t>
  </si>
  <si>
    <t>Target hours</t>
  </si>
  <si>
    <t>Lookup priority target</t>
  </si>
  <si>
    <t>SLA Status</t>
  </si>
  <si>
    <t>=IF(...)</t>
  </si>
  <si>
    <t>Met/Breached</t>
  </si>
  <si>
    <t>Compare resolution with target</t>
  </si>
  <si>
    <t>Response Status</t>
  </si>
  <si>
    <t>Within/Late</t>
  </si>
  <si>
    <t>Check first response</t>
  </si>
  <si>
    <t>Month</t>
  </si>
  <si>
    <t>=TEXT(...)</t>
  </si>
  <si>
    <t>2025-01</t>
  </si>
  <si>
    <t>Monthly analysis</t>
  </si>
  <si>
    <t>CSAT Band</t>
  </si>
  <si>
    <t>Good/Average/Poor</t>
  </si>
  <si>
    <t>Group satisfaction</t>
  </si>
  <si>
    <t>Duplicate Flag</t>
  </si>
  <si>
    <t>=COUNTIF(...)</t>
  </si>
  <si>
    <t>Unique/Duplicate</t>
  </si>
  <si>
    <t>Quality check</t>
  </si>
  <si>
    <t>agent_id</t>
  </si>
  <si>
    <t>agent_name</t>
  </si>
  <si>
    <t>team_lead</t>
  </si>
  <si>
    <t>team</t>
  </si>
  <si>
    <t>location</t>
  </si>
  <si>
    <t>A001</t>
  </si>
  <si>
    <t>Ishita Patel</t>
  </si>
  <si>
    <t>Aman Verma</t>
  </si>
  <si>
    <t>Email Support</t>
  </si>
  <si>
    <t>Gurugram</t>
  </si>
  <si>
    <t>A002</t>
  </si>
  <si>
    <t>Gaurav Khan</t>
  </si>
  <si>
    <t>Noida</t>
  </si>
  <si>
    <t>A003</t>
  </si>
  <si>
    <t>Kabir Verma</t>
  </si>
  <si>
    <t>A004</t>
  </si>
  <si>
    <t>Arjun Agarwal</t>
  </si>
  <si>
    <t>Bengaluru</t>
  </si>
  <si>
    <t>A005</t>
  </si>
  <si>
    <t>Aditi Verma</t>
  </si>
  <si>
    <t>A006</t>
  </si>
  <si>
    <t>Divya Shah</t>
  </si>
  <si>
    <t>Kritika Shah</t>
  </si>
  <si>
    <t>Voice Support</t>
  </si>
  <si>
    <t>A007</t>
  </si>
  <si>
    <t>Kavya Patel</t>
  </si>
  <si>
    <t>A008</t>
  </si>
  <si>
    <t>Ananya Mishra</t>
  </si>
  <si>
    <t>Hyderabad</t>
  </si>
  <si>
    <t>A009</t>
  </si>
  <si>
    <t>Divya Mehta</t>
  </si>
  <si>
    <t>A010</t>
  </si>
  <si>
    <t>Ananya Gupta</t>
  </si>
  <si>
    <t>A011</t>
  </si>
  <si>
    <t>Shreya Singh</t>
  </si>
  <si>
    <t>Nitin Gupta</t>
  </si>
  <si>
    <t>Chat Support</t>
  </si>
  <si>
    <t>A012</t>
  </si>
  <si>
    <t>Ankit Khan</t>
  </si>
  <si>
    <t>A013</t>
  </si>
  <si>
    <t>Ananya Jain</t>
  </si>
  <si>
    <t>A014</t>
  </si>
  <si>
    <t>A015</t>
  </si>
  <si>
    <t>Neha Jain</t>
  </si>
  <si>
    <t>A016</t>
  </si>
  <si>
    <t>Pooja Bansal</t>
  </si>
  <si>
    <t>Pallavi Rao</t>
  </si>
  <si>
    <t>Escalations</t>
  </si>
  <si>
    <t>A017</t>
  </si>
  <si>
    <t>Varun Mehta</t>
  </si>
  <si>
    <t>A018</t>
  </si>
  <si>
    <t>Rahul Verma</t>
  </si>
  <si>
    <t>A019</t>
  </si>
  <si>
    <t>Sneha Joshi</t>
  </si>
  <si>
    <t>A020</t>
  </si>
  <si>
    <t>Aditi Bansal</t>
  </si>
  <si>
    <t>A021</t>
  </si>
  <si>
    <t>Nikhil Bansal</t>
  </si>
  <si>
    <t>Vivek Jain</t>
  </si>
  <si>
    <t>Seller Support</t>
  </si>
  <si>
    <t>A022</t>
  </si>
  <si>
    <t>Varun Sharma</t>
  </si>
  <si>
    <t>A023</t>
  </si>
  <si>
    <t>Ishita Verma</t>
  </si>
  <si>
    <t>A024</t>
  </si>
  <si>
    <t>Rohan Verma</t>
  </si>
  <si>
    <t>A025</t>
  </si>
  <si>
    <t>Arjun Nair</t>
  </si>
  <si>
    <t>ticket_id</t>
  </si>
  <si>
    <t>created_date</t>
  </si>
  <si>
    <t>channel</t>
  </si>
  <si>
    <t>issue_type</t>
  </si>
  <si>
    <t>priority</t>
  </si>
  <si>
    <t>resolution_hours</t>
  </si>
  <si>
    <t>first_response_minutes</t>
  </si>
  <si>
    <t>csat_score</t>
  </si>
  <si>
    <t>qa_score</t>
  </si>
  <si>
    <t>status</t>
  </si>
  <si>
    <t>reopened</t>
  </si>
  <si>
    <t>escalated</t>
  </si>
  <si>
    <t>T00001</t>
  </si>
  <si>
    <t>Call</t>
  </si>
  <si>
    <t>Delivery Delay</t>
  </si>
  <si>
    <t>High</t>
  </si>
  <si>
    <t>Closed</t>
  </si>
  <si>
    <t>No</t>
  </si>
  <si>
    <t>T00002</t>
  </si>
  <si>
    <t>Refund</t>
  </si>
  <si>
    <t>T00003</t>
  </si>
  <si>
    <t>Chat</t>
  </si>
  <si>
    <t>Low</t>
  </si>
  <si>
    <t>T00004</t>
  </si>
  <si>
    <t>Medium</t>
  </si>
  <si>
    <t>T00005</t>
  </si>
  <si>
    <t>Order Cancellation</t>
  </si>
  <si>
    <t>T00006</t>
  </si>
  <si>
    <t>Email</t>
  </si>
  <si>
    <t>T00007</t>
  </si>
  <si>
    <t>Account Issue</t>
  </si>
  <si>
    <t>Critical</t>
  </si>
  <si>
    <t>T00008</t>
  </si>
  <si>
    <t>T00009</t>
  </si>
  <si>
    <t>Yes</t>
  </si>
  <si>
    <t>T00010</t>
  </si>
  <si>
    <t>T00011</t>
  </si>
  <si>
    <t>T00012</t>
  </si>
  <si>
    <t>T00013</t>
  </si>
  <si>
    <t>T00014</t>
  </si>
  <si>
    <t>T00015</t>
  </si>
  <si>
    <t>Payment Failure</t>
  </si>
  <si>
    <t>T00016</t>
  </si>
  <si>
    <t>Product Quality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</si>
  <si>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</si>
  <si>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</si>
  <si>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</si>
  <si>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</si>
  <si>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</si>
  <si>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</si>
  <si>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</si>
  <si>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</si>
  <si>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</si>
  <si>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</si>
  <si>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</si>
  <si>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Open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</si>
  <si>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</si>
  <si>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</si>
  <si>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</si>
  <si>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</si>
  <si>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</si>
  <si>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</si>
  <si>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</si>
  <si>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</si>
  <si>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</si>
  <si>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</si>
  <si>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</si>
  <si>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</si>
  <si>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</si>
  <si>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</si>
  <si>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</si>
  <si>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</si>
  <si>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</si>
  <si>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</si>
  <si>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</si>
  <si>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</si>
  <si>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</si>
  <si>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</si>
  <si>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</si>
  <si>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</si>
  <si>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</si>
  <si>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</si>
  <si>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</si>
  <si>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</si>
  <si>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</si>
  <si>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</si>
  <si>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</si>
  <si>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</si>
  <si>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</si>
  <si>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</si>
  <si>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</si>
  <si>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</si>
  <si>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</si>
  <si>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</si>
  <si>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</si>
  <si>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</si>
  <si>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</si>
  <si>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</si>
  <si>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</si>
  <si>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</si>
  <si>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</si>
  <si>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</si>
  <si>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</si>
  <si>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</si>
  <si>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</si>
  <si>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</si>
  <si>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</si>
  <si>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</si>
  <si>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</si>
  <si>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</si>
  <si>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</si>
  <si>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</si>
  <si>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</si>
  <si>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</si>
  <si>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</si>
  <si>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</si>
  <si>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</si>
  <si>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</si>
  <si>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</si>
  <si>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</si>
  <si>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</si>
  <si>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</si>
  <si>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</si>
  <si>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</si>
  <si>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</si>
  <si>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</si>
  <si>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</si>
  <si>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</si>
  <si>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</si>
  <si>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</si>
  <si>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</si>
  <si>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</si>
  <si>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</si>
  <si>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</si>
  <si>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</si>
  <si>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</si>
  <si>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</si>
  <si>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</si>
  <si>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</si>
  <si>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</si>
  <si>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</si>
  <si>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</si>
  <si>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</si>
  <si>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</si>
  <si>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</si>
  <si>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</si>
  <si>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</si>
  <si>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</si>
  <si>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</si>
  <si>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</si>
  <si>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</si>
  <si>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</si>
  <si>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</si>
  <si>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</si>
  <si>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</si>
  <si>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</si>
  <si>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</si>
  <si>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</si>
  <si>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</si>
  <si>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</si>
  <si>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</si>
  <si>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</si>
  <si>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</si>
  <si>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</si>
  <si>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</si>
  <si>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</si>
  <si>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</si>
  <si>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</si>
  <si>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</si>
  <si>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</si>
  <si>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</si>
  <si>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</si>
  <si>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</si>
  <si>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</si>
  <si>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</si>
  <si>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</si>
  <si>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</si>
  <si>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</si>
  <si>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</si>
  <si>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</si>
  <si>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</si>
  <si>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</si>
  <si>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</si>
  <si>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</si>
  <si>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</si>
  <si>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</si>
  <si>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</si>
  <si>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</si>
  <si>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</si>
  <si>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</si>
  <si>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</si>
  <si>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</si>
  <si>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</si>
  <si>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</si>
  <si>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</si>
  <si>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</si>
  <si>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</si>
  <si>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</si>
  <si>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</si>
  <si>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</si>
  <si>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</si>
  <si>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</si>
  <si>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</si>
  <si>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</si>
  <si>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</si>
  <si>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</si>
  <si>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</si>
  <si>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</si>
  <si>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</si>
  <si>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</si>
  <si>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</si>
  <si>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</si>
  <si>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</si>
  <si>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</si>
  <si>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</si>
  <si>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</si>
  <si>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</si>
  <si>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</si>
  <si>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</si>
  <si>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</si>
  <si>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</si>
  <si>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</si>
  <si>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</si>
  <si>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</si>
  <si>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</si>
  <si>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</si>
  <si>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</si>
  <si>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</si>
  <si>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</si>
  <si>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</si>
  <si>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</si>
  <si>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</si>
  <si>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</si>
  <si>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</si>
  <si>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</si>
  <si>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</si>
  <si>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</si>
  <si>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</si>
  <si>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</si>
  <si>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</si>
  <si>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</si>
  <si>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</si>
  <si>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</si>
  <si>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</si>
  <si>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</si>
  <si>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</si>
  <si>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</si>
  <si>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</si>
  <si>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</si>
  <si>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</si>
  <si>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</si>
  <si>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</si>
  <si>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</si>
  <si>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</si>
  <si>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</si>
  <si>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</si>
  <si>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</si>
  <si>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</si>
  <si>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</si>
  <si>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</si>
  <si>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</si>
  <si>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</si>
  <si>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</si>
  <si>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</si>
  <si>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</si>
  <si>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</si>
  <si>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</si>
  <si>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</si>
  <si>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</si>
  <si>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</si>
  <si>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</si>
  <si>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</si>
  <si>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</si>
  <si>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</si>
  <si>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</si>
  <si>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</si>
  <si>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</si>
  <si>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</si>
  <si>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</si>
  <si>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</si>
  <si>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</si>
  <si>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</si>
  <si>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</si>
  <si>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</si>
  <si>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</si>
  <si>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</si>
  <si>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</si>
  <si>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</si>
  <si>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</si>
  <si>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</si>
  <si>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</si>
  <si>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</si>
  <si>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</si>
  <si>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</si>
  <si>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</si>
  <si>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</si>
  <si>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</si>
  <si>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</si>
  <si>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</si>
  <si>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</si>
  <si>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</si>
  <si>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</si>
  <si>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</si>
  <si>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</si>
  <si>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</si>
  <si>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</si>
  <si>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</si>
  <si>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</si>
  <si>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</si>
  <si>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</si>
  <si>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</si>
  <si>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</si>
  <si>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</si>
  <si>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</si>
  <si>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</si>
  <si>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</si>
  <si>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</si>
  <si>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</si>
  <si>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</si>
  <si>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</si>
  <si>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</si>
  <si>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</si>
  <si>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</si>
  <si>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</si>
  <si>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</si>
  <si>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</si>
  <si>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</si>
  <si>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</si>
  <si>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</si>
  <si>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</si>
  <si>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</si>
  <si>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</si>
  <si>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</si>
  <si>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</si>
  <si>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</si>
  <si>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</si>
  <si>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</si>
  <si>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</si>
  <si>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</si>
  <si>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</si>
  <si>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</si>
  <si>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</si>
  <si>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</si>
  <si>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</si>
  <si>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</si>
  <si>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</si>
  <si>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</si>
  <si>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</si>
  <si>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</si>
  <si>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</si>
  <si>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</si>
  <si>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</si>
  <si>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</si>
  <si>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</si>
  <si>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</si>
  <si>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</si>
  <si>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</si>
  <si>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</si>
  <si>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</si>
  <si>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</si>
  <si>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</si>
  <si>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</si>
  <si>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</si>
  <si>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</si>
  <si>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</si>
  <si>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</si>
  <si>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</si>
  <si>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</si>
  <si>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</si>
  <si>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</si>
  <si>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</si>
  <si>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</si>
  <si>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</si>
  <si>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</si>
  <si>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</si>
  <si>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</si>
  <si>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</si>
  <si>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</si>
  <si>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</si>
  <si>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</si>
  <si>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</si>
  <si>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</si>
  <si>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</si>
  <si>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</si>
  <si>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</si>
  <si>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</si>
  <si>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</si>
  <si>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</si>
  <si>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</si>
  <si>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</si>
  <si>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</si>
  <si>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</si>
  <si>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</si>
  <si>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</si>
  <si>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</si>
  <si>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</si>
  <si>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</si>
  <si>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</si>
  <si>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</si>
  <si>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</si>
  <si>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</si>
  <si>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</si>
  <si>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</si>
  <si>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</si>
  <si>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</si>
  <si>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</si>
  <si>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</si>
  <si>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</si>
  <si>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</si>
  <si>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</si>
  <si>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</si>
  <si>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</si>
  <si>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</si>
  <si>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</si>
  <si>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</si>
  <si>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</si>
  <si>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</si>
  <si>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</si>
  <si>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</si>
  <si>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</si>
  <si>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</si>
  <si>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</si>
  <si>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</si>
  <si>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</si>
  <si>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</si>
  <si>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</si>
  <si>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</si>
  <si>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</si>
  <si>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</si>
  <si>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</si>
  <si>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</si>
  <si>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</si>
  <si>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</si>
  <si>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</si>
  <si>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</si>
  <si>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</si>
  <si>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</si>
  <si>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</si>
  <si>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</si>
  <si>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</si>
  <si>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</si>
  <si>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</si>
  <si>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</si>
  <si>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</si>
  <si>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</si>
  <si>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</si>
  <si>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</si>
  <si>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</si>
  <si>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</si>
  <si>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</si>
  <si>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</si>
  <si>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</si>
  <si>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</si>
  <si>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</si>
  <si>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</si>
  <si>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</si>
  <si>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</si>
  <si>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</si>
  <si>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</si>
  <si>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</si>
  <si>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</si>
  <si>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</si>
  <si>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</si>
  <si>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</si>
  <si>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</si>
  <si>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</si>
  <si>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</si>
  <si>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</si>
  <si>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</si>
  <si>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</si>
  <si>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</si>
  <si>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</si>
  <si>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</si>
  <si>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</si>
  <si>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</si>
  <si>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</si>
  <si>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</si>
  <si>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</si>
  <si>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</si>
  <si>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</si>
  <si>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</si>
  <si>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</si>
  <si>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</si>
  <si>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</si>
  <si>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</si>
  <si>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</si>
  <si>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</si>
  <si>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</si>
  <si>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</si>
  <si>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</si>
  <si>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</si>
  <si>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</si>
  <si>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</si>
  <si>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</si>
  <si>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</si>
  <si>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</si>
  <si>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</si>
  <si>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</si>
  <si>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</si>
  <si>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</si>
  <si>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</si>
  <si>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</si>
  <si>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</si>
  <si>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</si>
  <si>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</si>
  <si>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</si>
  <si>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</si>
  <si>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</si>
  <si>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</si>
  <si>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</si>
  <si>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</si>
  <si>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</si>
  <si>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</si>
  <si>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</si>
  <si>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</si>
  <si>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</si>
  <si>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</si>
  <si>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</si>
  <si>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</si>
  <si>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</si>
  <si>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</si>
  <si>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</si>
  <si>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</si>
  <si>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</si>
  <si>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</si>
  <si>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</si>
  <si>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</si>
  <si>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</si>
  <si>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</si>
  <si>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Priority</t>
  </si>
  <si>
    <t>Ticket_ID</t>
  </si>
  <si>
    <t>Created_Date</t>
  </si>
  <si>
    <t>Agent_ID</t>
  </si>
  <si>
    <t>Channel</t>
  </si>
  <si>
    <t>Issue_Type</t>
  </si>
  <si>
    <t>Resolution_Hours</t>
  </si>
  <si>
    <t>First_Response_Minutes</t>
  </si>
  <si>
    <t>CSAT_Score</t>
  </si>
  <si>
    <t>QA_Score</t>
  </si>
  <si>
    <t>Status</t>
  </si>
  <si>
    <t>Reopened</t>
  </si>
  <si>
    <t>Escalated</t>
  </si>
  <si>
    <t>Agent_Name</t>
  </si>
  <si>
    <t>Team_Lead</t>
  </si>
  <si>
    <t>Location</t>
  </si>
  <si>
    <t>SLA_Target_Hours</t>
  </si>
  <si>
    <t>SLA_Status</t>
  </si>
  <si>
    <t>Response_Status</t>
  </si>
  <si>
    <t>Ticket_Month</t>
  </si>
  <si>
    <t>CSAT_Band</t>
  </si>
  <si>
    <t>QA_Band</t>
  </si>
  <si>
    <t>Duplicate_Flag</t>
  </si>
  <si>
    <t>Support Performance Summary</t>
  </si>
  <si>
    <t>Avg CSAT</t>
  </si>
  <si>
    <t>Avg QA</t>
  </si>
  <si>
    <t>SLA Breaches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</si>
  <si>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</si>
  <si>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</si>
  <si>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</si>
  <si>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</si>
  <si>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</si>
  <si>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</si>
  <si>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</si>
  <si>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</si>
  <si>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</si>
  <si>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</si>
  <si>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</si>
  <si>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CUSTOMER SUPPORT &amp; QUALITY DASHBOARD</t>
  </si>
  <si>
    <t>Average CSAT</t>
  </si>
  <si>
    <t>Average QA</t>
  </si>
  <si>
    <t>Quality focus
Review SLA breaches, coach agents with QA below 85, and monitor reopened or escalated tickets.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</si>
</sst>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5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color rgb="FF17365D"/>
      <name val="Aptos"/>
    </font>
    <font>
      <b/>
      <sz val="10"/>
      <color rgb="FF375623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1F9D8A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rgb="FFBDD7EE"/>
      </left>
      <right/>
      <top style="thin">
        <color rgb="FFBDD7EE"/>
      </top>
      <bottom/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5" borderId="0" xfId="0" applyFont="1" applyFill="1"/>
    <xf numFmtId="0" fontId="1" fillId="2" borderId="0" xfId="0" applyFont="1" applyFill="1"/>
    <xf numFmtId="164" fontId="2" fillId="0" borderId="0" xfId="0" applyNumberFormat="1" applyFont="1"/>
    <xf numFmtId="0" fontId="1" fillId="2" borderId="0" xfId="0" applyFont="1" applyFill="1" applyAlignment="1">
      <alignment wrapText="1"/>
    </xf>
    <xf numFmtId="165" fontId="2" fillId="0" borderId="0" xfId="0" applyNumberFormat="1" applyFont="1"/>
    <xf numFmtId="0" fontId="1" fillId="2" borderId="0" xfId="0" applyFont="1" applyFill="1" applyAlignment="1">
      <alignment horizontal="center"/>
    </xf>
    <xf numFmtId="0" fontId="1" fillId="4" borderId="0" xfId="0" applyFont="1" applyFill="1"/>
    <xf numFmtId="0" fontId="1" fillId="5" borderId="0" xfId="0" applyFont="1" applyFill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1" fontId="3" fillId="3" borderId="4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3" fillId="3" borderId="6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/>
    </xf>
    <xf numFmtId="165" fontId="3" fillId="3" borderId="4" xfId="0" applyNumberFormat="1" applyFont="1" applyFill="1" applyBorder="1" applyAlignment="1">
      <alignment horizontal="center"/>
    </xf>
    <xf numFmtId="165" fontId="3" fillId="3" borderId="5" xfId="0" applyNumberFormat="1" applyFont="1" applyFill="1" applyBorder="1" applyAlignment="1">
      <alignment horizontal="center"/>
    </xf>
    <xf numFmtId="165" fontId="3" fillId="3" borderId="6" xfId="0" applyNumberFormat="1" applyFont="1" applyFill="1" applyBorder="1" applyAlignment="1">
      <alignment horizontal="center"/>
    </xf>
    <xf numFmtId="0" fontId="4" fillId="6" borderId="0" xfId="0" applyFont="1" applyFill="1" applyAlignment="1">
      <alignment vertical="center" wrapText="1"/>
    </xf>
    <xf numFmtId="0" fontId="2" fillId="7" borderId="0" xfId="0" applyFont="1" applyFill="1"/>
    <xf numFmtId="2" fontId="2" fillId="7" borderId="0" xfId="0" applyNumberFormat="1" applyFont="1" applyFill="1"/>
  </cellXfs>
  <cellStyles count="1">
    <cellStyle name="Normal" xfId="0" builtinId="0"/>
  </cellStyles>
  <dxfs count="2"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Ticket Volume by Team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Tickets</c:v>
          </c:tx>
          <c:invertIfNegative val="1"/>
          <c:cat>
            <c:strRef>
              <c:f>Summary!$A$5:$A$9</c:f>
              <c:strCache>
                <c:ptCount val="5"/>
                <c:pt idx="0">
                  <c:v>Email Support</c:v>
                </c:pt>
                <c:pt idx="1">
                  <c:v>Voice Support</c:v>
                </c:pt>
                <c:pt idx="2">
                  <c:v>Chat Support</c:v>
                </c:pt>
                <c:pt idx="3">
                  <c:v>Escalations</c:v>
                </c:pt>
                <c:pt idx="4">
                  <c:v>Seller Support</c:v>
                </c:pt>
              </c:strCache>
            </c:strRef>
          </c:cat>
          <c:val>
            <c:numRef>
              <c:f>Summary!$B$5:$B$9</c:f>
              <c:numCache>
                <c:formatCode>General</c:formatCode>
                <c:ptCount val="5"/>
                <c:pt idx="0">
                  <c:v>112</c:v>
                </c:pt>
                <c:pt idx="1">
                  <c:v>103</c:v>
                </c:pt>
                <c:pt idx="2">
                  <c:v>93</c:v>
                </c:pt>
                <c:pt idx="3">
                  <c:v>111</c:v>
                </c:pt>
                <c:pt idx="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3-40F0-849C-D0C51478C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CSAT and QA by Team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Tickets</c:v>
          </c:tx>
          <c:invertIfNegative val="1"/>
          <c:cat>
            <c:strRef>
              <c:f>Summary!$A$5:$A$9</c:f>
              <c:strCache>
                <c:ptCount val="5"/>
                <c:pt idx="0">
                  <c:v>Email Support</c:v>
                </c:pt>
                <c:pt idx="1">
                  <c:v>Voice Support</c:v>
                </c:pt>
                <c:pt idx="2">
                  <c:v>Chat Support</c:v>
                </c:pt>
                <c:pt idx="3">
                  <c:v>Escalations</c:v>
                </c:pt>
                <c:pt idx="4">
                  <c:v>Seller Support</c:v>
                </c:pt>
              </c:strCache>
            </c:strRef>
          </c:cat>
          <c:val>
            <c:numRef>
              <c:f>Summary!$B$5:$B$9</c:f>
              <c:numCache>
                <c:formatCode>General</c:formatCode>
                <c:ptCount val="5"/>
                <c:pt idx="0">
                  <c:v>112</c:v>
                </c:pt>
                <c:pt idx="1">
                  <c:v>103</c:v>
                </c:pt>
                <c:pt idx="2">
                  <c:v>93</c:v>
                </c:pt>
                <c:pt idx="3">
                  <c:v>111</c:v>
                </c:pt>
                <c:pt idx="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1-4450-BC78-53ABA495979B}"/>
            </c:ext>
          </c:extLst>
        </c:ser>
        <c:ser>
          <c:idx val="1"/>
          <c:order val="1"/>
          <c:tx>
            <c:v>Avg CSAT</c:v>
          </c:tx>
          <c:invertIfNegative val="1"/>
          <c:cat>
            <c:strRef>
              <c:f>Summary!$A$5:$A$9</c:f>
              <c:strCache>
                <c:ptCount val="5"/>
                <c:pt idx="0">
                  <c:v>Email Support</c:v>
                </c:pt>
                <c:pt idx="1">
                  <c:v>Voice Support</c:v>
                </c:pt>
                <c:pt idx="2">
                  <c:v>Chat Support</c:v>
                </c:pt>
                <c:pt idx="3">
                  <c:v>Escalations</c:v>
                </c:pt>
                <c:pt idx="4">
                  <c:v>Seller Support</c:v>
                </c:pt>
              </c:strCache>
            </c:strRef>
          </c:cat>
          <c:val>
            <c:numRef>
              <c:f>Summary!$C$5:$C$9</c:f>
              <c:numCache>
                <c:formatCode>0.00</c:formatCode>
                <c:ptCount val="5"/>
                <c:pt idx="0">
                  <c:v>3.8214285714285716</c:v>
                </c:pt>
                <c:pt idx="1">
                  <c:v>3.9611650485436893</c:v>
                </c:pt>
                <c:pt idx="2">
                  <c:v>3.838709677419355</c:v>
                </c:pt>
                <c:pt idx="3">
                  <c:v>3.8468468468468466</c:v>
                </c:pt>
                <c:pt idx="4">
                  <c:v>3.9382716049382718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F1-4450-BC78-53ABA495979B}"/>
            </c:ext>
          </c:extLst>
        </c:ser>
        <c:ser>
          <c:idx val="2"/>
          <c:order val="2"/>
          <c:tx>
            <c:v>Avg QA</c:v>
          </c:tx>
          <c:invertIfNegative val="1"/>
          <c:cat>
            <c:strRef>
              <c:f>Summary!$A$5:$A$9</c:f>
              <c:strCache>
                <c:ptCount val="5"/>
                <c:pt idx="0">
                  <c:v>Email Support</c:v>
                </c:pt>
                <c:pt idx="1">
                  <c:v>Voice Support</c:v>
                </c:pt>
                <c:pt idx="2">
                  <c:v>Chat Support</c:v>
                </c:pt>
                <c:pt idx="3">
                  <c:v>Escalations</c:v>
                </c:pt>
                <c:pt idx="4">
                  <c:v>Seller Support</c:v>
                </c:pt>
              </c:strCache>
            </c:strRef>
          </c:cat>
          <c:val>
            <c:numRef>
              <c:f>Summary!$D$5:$D$9</c:f>
              <c:numCache>
                <c:formatCode>0.00</c:formatCode>
                <c:ptCount val="5"/>
                <c:pt idx="0">
                  <c:v>86.165178571428569</c:v>
                </c:pt>
                <c:pt idx="1">
                  <c:v>85.690291262135958</c:v>
                </c:pt>
                <c:pt idx="2">
                  <c:v>86.995698924731172</c:v>
                </c:pt>
                <c:pt idx="3">
                  <c:v>86.128828828828844</c:v>
                </c:pt>
                <c:pt idx="4">
                  <c:v>87.072839506172841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F1-4450-BC78-53ABA4959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Ticket and Quality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Tickets</c:v>
          </c:tx>
          <c:marker>
            <c:symbol val="none"/>
          </c:marker>
          <c:cat>
            <c:strRef>
              <c:f>Summary!$G$5:$G$16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Summary!$H$5:$H$16</c:f>
              <c:numCache>
                <c:formatCode>General</c:formatCode>
                <c:ptCount val="12"/>
                <c:pt idx="0">
                  <c:v>47</c:v>
                </c:pt>
                <c:pt idx="1">
                  <c:v>39</c:v>
                </c:pt>
                <c:pt idx="2">
                  <c:v>50</c:v>
                </c:pt>
                <c:pt idx="3">
                  <c:v>37</c:v>
                </c:pt>
                <c:pt idx="4">
                  <c:v>33</c:v>
                </c:pt>
                <c:pt idx="5">
                  <c:v>37</c:v>
                </c:pt>
                <c:pt idx="6">
                  <c:v>54</c:v>
                </c:pt>
                <c:pt idx="7">
                  <c:v>44</c:v>
                </c:pt>
                <c:pt idx="8">
                  <c:v>42</c:v>
                </c:pt>
                <c:pt idx="9">
                  <c:v>42</c:v>
                </c:pt>
                <c:pt idx="10">
                  <c:v>39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4-4FBE-844F-3AC50A480DE0}"/>
            </c:ext>
          </c:extLst>
        </c:ser>
        <c:ser>
          <c:idx val="1"/>
          <c:order val="1"/>
          <c:tx>
            <c:v>Avg CSAT</c:v>
          </c:tx>
          <c:marker>
            <c:symbol val="none"/>
          </c:marker>
          <c:cat>
            <c:strRef>
              <c:f>Summary!$G$5:$G$16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Summary!$I$5:$I$16</c:f>
              <c:numCache>
                <c:formatCode>0.00</c:formatCode>
                <c:ptCount val="12"/>
                <c:pt idx="0">
                  <c:v>3.8510638297872339</c:v>
                </c:pt>
                <c:pt idx="1">
                  <c:v>3.7948717948717947</c:v>
                </c:pt>
                <c:pt idx="2">
                  <c:v>3.88</c:v>
                </c:pt>
                <c:pt idx="3">
                  <c:v>3.6216216216216215</c:v>
                </c:pt>
                <c:pt idx="4">
                  <c:v>4.2727272727272725</c:v>
                </c:pt>
                <c:pt idx="5">
                  <c:v>4.1621621621621623</c:v>
                </c:pt>
                <c:pt idx="6">
                  <c:v>3.7407407407407409</c:v>
                </c:pt>
                <c:pt idx="7">
                  <c:v>3.8409090909090908</c:v>
                </c:pt>
                <c:pt idx="8">
                  <c:v>3.9761904761904763</c:v>
                </c:pt>
                <c:pt idx="9">
                  <c:v>4</c:v>
                </c:pt>
                <c:pt idx="10">
                  <c:v>3.5897435897435899</c:v>
                </c:pt>
                <c:pt idx="11">
                  <c:v>3.9166666666666665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34-4FBE-844F-3AC50A480DE0}"/>
            </c:ext>
          </c:extLst>
        </c:ser>
        <c:ser>
          <c:idx val="2"/>
          <c:order val="2"/>
          <c:tx>
            <c:v>Avg QA</c:v>
          </c:tx>
          <c:marker>
            <c:symbol val="none"/>
          </c:marker>
          <c:cat>
            <c:strRef>
              <c:f>Summary!$G$5:$G$16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Summary!$J$5:$J$16</c:f>
              <c:numCache>
                <c:formatCode>0.00</c:formatCode>
                <c:ptCount val="12"/>
                <c:pt idx="0">
                  <c:v>85.980851063829789</c:v>
                </c:pt>
                <c:pt idx="1">
                  <c:v>87.04871794871795</c:v>
                </c:pt>
                <c:pt idx="2">
                  <c:v>85.251999999999995</c:v>
                </c:pt>
                <c:pt idx="3">
                  <c:v>90.14594594594594</c:v>
                </c:pt>
                <c:pt idx="4">
                  <c:v>83.533333333333317</c:v>
                </c:pt>
                <c:pt idx="5">
                  <c:v>87.632432432432438</c:v>
                </c:pt>
                <c:pt idx="6">
                  <c:v>86.370370370370367</c:v>
                </c:pt>
                <c:pt idx="7">
                  <c:v>85.727272727272734</c:v>
                </c:pt>
                <c:pt idx="8">
                  <c:v>85.642857142857139</c:v>
                </c:pt>
                <c:pt idx="9">
                  <c:v>87.100000000000009</c:v>
                </c:pt>
                <c:pt idx="10">
                  <c:v>86.128205128205124</c:v>
                </c:pt>
                <c:pt idx="11">
                  <c:v>86.033333333333331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34-4FBE-844F-3AC50A480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entsTable" displayName="AgentsTable" ref="A1:E26" totalsRowShown="0">
  <tableColumns count="5">
    <tableColumn id="1" xr3:uid="{00000000-0010-0000-0000-000001000000}" name="agent_id"/>
    <tableColumn id="2" xr3:uid="{00000000-0010-0000-0000-000002000000}" name="agent_name"/>
    <tableColumn id="3" xr3:uid="{00000000-0010-0000-0000-000003000000}" name="team_lead"/>
    <tableColumn id="4" xr3:uid="{00000000-0010-0000-0000-000004000000}" name="team"/>
    <tableColumn id="5" xr3:uid="{00000000-0010-0000-0000-000005000000}" name="lo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TicketsTable" displayName="RawTicketsTable" ref="A1:M501" totalsRowShown="0">
  <tableColumns count="13">
    <tableColumn id="1" xr3:uid="{00000000-0010-0000-0100-000001000000}" name="ticket_id"/>
    <tableColumn id="2" xr3:uid="{00000000-0010-0000-0100-000002000000}" name="created_date"/>
    <tableColumn id="3" xr3:uid="{00000000-0010-0000-0100-000003000000}" name="agent_id"/>
    <tableColumn id="4" xr3:uid="{00000000-0010-0000-0100-000004000000}" name="channel"/>
    <tableColumn id="5" xr3:uid="{00000000-0010-0000-0100-000005000000}" name="issue_type"/>
    <tableColumn id="6" xr3:uid="{00000000-0010-0000-0100-000006000000}" name="priority"/>
    <tableColumn id="7" xr3:uid="{00000000-0010-0000-0100-000007000000}" name="resolution_hours"/>
    <tableColumn id="8" xr3:uid="{00000000-0010-0000-0100-000008000000}" name="first_response_minutes"/>
    <tableColumn id="9" xr3:uid="{00000000-0010-0000-0100-000009000000}" name="csat_score"/>
    <tableColumn id="10" xr3:uid="{00000000-0010-0000-0100-00000A000000}" name="qa_score"/>
    <tableColumn id="11" xr3:uid="{00000000-0010-0000-0100-00000B000000}" name="status"/>
    <tableColumn id="12" xr3:uid="{00000000-0010-0000-0100-00000C000000}" name="reopened"/>
    <tableColumn id="13" xr3:uid="{00000000-0010-0000-0100-00000D000000}" name="escal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cketAnalysisTable" displayName="TicketAnalysisTable" ref="A1:X501" totalsRowShown="0">
  <tableColumns count="24">
    <tableColumn id="1" xr3:uid="{00000000-0010-0000-0300-000001000000}" name="Ticket_ID"/>
    <tableColumn id="2" xr3:uid="{00000000-0010-0000-0300-000002000000}" name="Created_Date"/>
    <tableColumn id="3" xr3:uid="{00000000-0010-0000-0300-000003000000}" name="Agent_ID"/>
    <tableColumn id="4" xr3:uid="{00000000-0010-0000-0300-000004000000}" name="Channel"/>
    <tableColumn id="5" xr3:uid="{00000000-0010-0000-0300-000005000000}" name="Issue_Type"/>
    <tableColumn id="6" xr3:uid="{00000000-0010-0000-0300-000006000000}" name="Priority"/>
    <tableColumn id="7" xr3:uid="{00000000-0010-0000-0300-000007000000}" name="Resolution_Hours"/>
    <tableColumn id="8" xr3:uid="{00000000-0010-0000-0300-000008000000}" name="First_Response_Minutes"/>
    <tableColumn id="9" xr3:uid="{00000000-0010-0000-0300-000009000000}" name="CSAT_Score"/>
    <tableColumn id="10" xr3:uid="{00000000-0010-0000-0300-00000A000000}" name="QA_Score"/>
    <tableColumn id="11" xr3:uid="{00000000-0010-0000-0300-00000B000000}" name="Status"/>
    <tableColumn id="12" xr3:uid="{00000000-0010-0000-0300-00000C000000}" name="Reopened"/>
    <tableColumn id="13" xr3:uid="{00000000-0010-0000-0300-00000D000000}" name="Escalated"/>
    <tableColumn id="14" xr3:uid="{00000000-0010-0000-0300-00000E000000}" name="Agent_Name"/>
    <tableColumn id="15" xr3:uid="{00000000-0010-0000-0300-00000F000000}" name="Team"/>
    <tableColumn id="16" xr3:uid="{00000000-0010-0000-0300-000010000000}" name="Team_Lead"/>
    <tableColumn id="17" xr3:uid="{00000000-0010-0000-0300-000011000000}" name="Location"/>
    <tableColumn id="18" xr3:uid="{00000000-0010-0000-0300-000012000000}" name="SLA_Target_Hours"/>
    <tableColumn id="19" xr3:uid="{00000000-0010-0000-0300-000013000000}" name="SLA_Status"/>
    <tableColumn id="20" xr3:uid="{00000000-0010-0000-0300-000014000000}" name="Response_Status"/>
    <tableColumn id="21" xr3:uid="{00000000-0010-0000-0300-000015000000}" name="Ticket_Month"/>
    <tableColumn id="22" xr3:uid="{00000000-0010-0000-0300-000016000000}" name="CSAT_Band"/>
    <tableColumn id="23" xr3:uid="{00000000-0010-0000-0300-000017000000}" name="QA_Band"/>
    <tableColumn id="24" xr3:uid="{00000000-0010-0000-0300-000018000000}" name="Duplicate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workbookViewId="0">
      <selection activeCell="A25" sqref="A25"/>
    </sheetView>
  </sheetViews>
  <sheetFormatPr defaultRowHeight="13.8"/>
  <cols>
    <col min="1" max="1" width="23" customWidth="1"/>
    <col min="2" max="2" width="58" customWidth="1"/>
    <col min="3" max="4" width="22" customWidth="1"/>
  </cols>
  <sheetData>
    <row r="1" spans="1:8">
      <c r="A1" s="7" t="s">
        <v>0</v>
      </c>
      <c r="B1" s="7"/>
      <c r="C1" s="7"/>
      <c r="D1" s="7"/>
      <c r="E1" s="7"/>
      <c r="F1" s="7"/>
      <c r="G1" s="7"/>
      <c r="H1" s="7"/>
    </row>
    <row r="2" spans="1:8">
      <c r="A2" s="7"/>
      <c r="B2" s="7"/>
      <c r="C2" s="7"/>
      <c r="D2" s="7"/>
      <c r="E2" s="7"/>
      <c r="F2" s="7"/>
      <c r="G2" s="7"/>
      <c r="H2" s="7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8" t="s">
        <v>2</v>
      </c>
      <c r="B4" s="8"/>
      <c r="C4" s="8"/>
      <c r="D4" s="8"/>
      <c r="E4" s="1"/>
      <c r="F4" s="1"/>
      <c r="G4" s="1"/>
      <c r="H4" s="1"/>
    </row>
    <row r="5" spans="1:8" ht="15" customHeight="1">
      <c r="A5" s="1"/>
      <c r="B5" s="1"/>
      <c r="C5" s="1"/>
      <c r="D5" s="1"/>
      <c r="E5" s="1"/>
      <c r="F5" s="1"/>
      <c r="G5" s="1"/>
      <c r="H5" s="1"/>
    </row>
    <row r="6" spans="1:8" ht="15" customHeight="1">
      <c r="A6" s="2" t="s">
        <v>3</v>
      </c>
      <c r="B6" s="2" t="s">
        <v>4</v>
      </c>
      <c r="C6" s="2" t="s">
        <v>5</v>
      </c>
      <c r="D6" s="2" t="s">
        <v>6</v>
      </c>
      <c r="E6" s="1"/>
      <c r="F6" s="1"/>
      <c r="G6" s="1"/>
      <c r="H6" s="1"/>
    </row>
    <row r="7" spans="1:8" ht="15" customHeight="1">
      <c r="A7" s="1" t="s">
        <v>7</v>
      </c>
      <c r="B7" s="1" t="s">
        <v>8</v>
      </c>
      <c r="C7" s="1" t="s">
        <v>9</v>
      </c>
      <c r="D7" s="1" t="s">
        <v>10</v>
      </c>
      <c r="E7" s="1"/>
      <c r="F7" s="1"/>
      <c r="G7" s="1"/>
      <c r="H7" s="1"/>
    </row>
    <row r="8" spans="1:8" ht="15" customHeight="1">
      <c r="A8" s="1" t="s">
        <v>11</v>
      </c>
      <c r="B8" s="1" t="s">
        <v>12</v>
      </c>
      <c r="C8" s="1" t="s">
        <v>13</v>
      </c>
      <c r="D8" s="1" t="s">
        <v>14</v>
      </c>
      <c r="E8" s="1"/>
      <c r="F8" s="1"/>
      <c r="G8" s="1"/>
      <c r="H8" s="1"/>
    </row>
    <row r="9" spans="1:8" ht="15" customHeight="1">
      <c r="A9" s="1" t="s">
        <v>15</v>
      </c>
      <c r="B9" s="1" t="s">
        <v>8</v>
      </c>
      <c r="C9" s="1" t="s">
        <v>16</v>
      </c>
      <c r="D9" s="1" t="s">
        <v>17</v>
      </c>
      <c r="E9" s="1"/>
      <c r="F9" s="1"/>
      <c r="G9" s="1"/>
      <c r="H9" s="1"/>
    </row>
    <row r="10" spans="1:8" ht="15" customHeight="1">
      <c r="A10" s="1" t="s">
        <v>18</v>
      </c>
      <c r="B10" s="1" t="s">
        <v>19</v>
      </c>
      <c r="C10" s="1" t="s">
        <v>20</v>
      </c>
      <c r="D10" s="1" t="s">
        <v>21</v>
      </c>
      <c r="E10" s="1"/>
      <c r="F10" s="1"/>
      <c r="G10" s="1"/>
      <c r="H10" s="1"/>
    </row>
    <row r="11" spans="1:8" ht="15" customHeight="1">
      <c r="A11" s="1" t="s">
        <v>22</v>
      </c>
      <c r="B11" s="1" t="s">
        <v>19</v>
      </c>
      <c r="C11" s="1" t="s">
        <v>23</v>
      </c>
      <c r="D11" s="1" t="s">
        <v>24</v>
      </c>
      <c r="E11" s="1"/>
      <c r="F11" s="1"/>
      <c r="G11" s="1"/>
      <c r="H11" s="1"/>
    </row>
    <row r="12" spans="1:8" ht="15" customHeight="1">
      <c r="A12" s="1" t="s">
        <v>25</v>
      </c>
      <c r="B12" s="1" t="s">
        <v>26</v>
      </c>
      <c r="C12" s="1" t="s">
        <v>27</v>
      </c>
      <c r="D12" s="1" t="s">
        <v>28</v>
      </c>
      <c r="E12" s="1"/>
      <c r="F12" s="1"/>
      <c r="G12" s="1"/>
      <c r="H12" s="1"/>
    </row>
    <row r="13" spans="1:8" ht="15" customHeight="1">
      <c r="A13" s="1" t="s">
        <v>29</v>
      </c>
      <c r="B13" s="1" t="s">
        <v>19</v>
      </c>
      <c r="C13" s="1" t="s">
        <v>30</v>
      </c>
      <c r="D13" s="1" t="s">
        <v>31</v>
      </c>
      <c r="E13" s="1"/>
      <c r="F13" s="1"/>
      <c r="G13" s="1"/>
      <c r="H13" s="1"/>
    </row>
    <row r="14" spans="1:8" ht="15" customHeight="1">
      <c r="A14" s="1" t="s">
        <v>32</v>
      </c>
      <c r="B14" s="1" t="s">
        <v>33</v>
      </c>
      <c r="C14" s="1" t="s">
        <v>34</v>
      </c>
      <c r="D14" s="1" t="s">
        <v>35</v>
      </c>
      <c r="E14" s="1"/>
      <c r="F14" s="1"/>
      <c r="G14" s="1"/>
      <c r="H14" s="1"/>
    </row>
  </sheetData>
  <mergeCells count="2">
    <mergeCell ref="A1:H2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showGridLines="0" workbookViewId="0"/>
  </sheetViews>
  <sheetFormatPr defaultRowHeight="13.8"/>
  <cols>
    <col min="1" max="1" width="8.796875" customWidth="1"/>
    <col min="2" max="2" width="11.296875" customWidth="1"/>
    <col min="3" max="3" width="10" customWidth="1"/>
    <col min="4" max="4" width="9.8984375" customWidth="1"/>
    <col min="5" max="5" width="8.3984375" customWidth="1"/>
  </cols>
  <sheetData>
    <row r="1" spans="1:5" ht="15" customHeight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</row>
    <row r="2" spans="1:5" ht="15" customHeight="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</row>
    <row r="3" spans="1:5" ht="15" customHeight="1">
      <c r="A3" s="1" t="s">
        <v>46</v>
      </c>
      <c r="B3" s="1" t="s">
        <v>47</v>
      </c>
      <c r="C3" s="1" t="s">
        <v>43</v>
      </c>
      <c r="D3" s="1" t="s">
        <v>44</v>
      </c>
      <c r="E3" s="1" t="s">
        <v>48</v>
      </c>
    </row>
    <row r="4" spans="1:5" ht="15" customHeight="1">
      <c r="A4" s="1" t="s">
        <v>49</v>
      </c>
      <c r="B4" s="1" t="s">
        <v>50</v>
      </c>
      <c r="C4" s="1" t="s">
        <v>43</v>
      </c>
      <c r="D4" s="1" t="s">
        <v>44</v>
      </c>
      <c r="E4" s="1" t="s">
        <v>45</v>
      </c>
    </row>
    <row r="5" spans="1:5" ht="15" customHeight="1">
      <c r="A5" s="1" t="s">
        <v>51</v>
      </c>
      <c r="B5" s="1" t="s">
        <v>52</v>
      </c>
      <c r="C5" s="1" t="s">
        <v>43</v>
      </c>
      <c r="D5" s="1" t="s">
        <v>44</v>
      </c>
      <c r="E5" s="1" t="s">
        <v>53</v>
      </c>
    </row>
    <row r="6" spans="1:5" ht="15" customHeight="1">
      <c r="A6" s="1" t="s">
        <v>54</v>
      </c>
      <c r="B6" s="1" t="s">
        <v>55</v>
      </c>
      <c r="C6" s="1" t="s">
        <v>43</v>
      </c>
      <c r="D6" s="1" t="s">
        <v>44</v>
      </c>
      <c r="E6" s="1" t="s">
        <v>45</v>
      </c>
    </row>
    <row r="7" spans="1:5" ht="15" customHeight="1">
      <c r="A7" s="1" t="s">
        <v>56</v>
      </c>
      <c r="B7" s="1" t="s">
        <v>57</v>
      </c>
      <c r="C7" s="1" t="s">
        <v>58</v>
      </c>
      <c r="D7" s="1" t="s">
        <v>59</v>
      </c>
      <c r="E7" s="1" t="s">
        <v>45</v>
      </c>
    </row>
    <row r="8" spans="1:5" ht="15" customHeight="1">
      <c r="A8" s="1" t="s">
        <v>60</v>
      </c>
      <c r="B8" s="1" t="s">
        <v>61</v>
      </c>
      <c r="C8" s="1" t="s">
        <v>58</v>
      </c>
      <c r="D8" s="1" t="s">
        <v>59</v>
      </c>
      <c r="E8" s="1" t="s">
        <v>48</v>
      </c>
    </row>
    <row r="9" spans="1:5" ht="15" customHeight="1">
      <c r="A9" s="1" t="s">
        <v>62</v>
      </c>
      <c r="B9" s="1" t="s">
        <v>63</v>
      </c>
      <c r="C9" s="1" t="s">
        <v>58</v>
      </c>
      <c r="D9" s="1" t="s">
        <v>59</v>
      </c>
      <c r="E9" s="1" t="s">
        <v>64</v>
      </c>
    </row>
    <row r="10" spans="1:5" ht="15" customHeight="1">
      <c r="A10" s="1" t="s">
        <v>65</v>
      </c>
      <c r="B10" s="1" t="s">
        <v>66</v>
      </c>
      <c r="C10" s="1" t="s">
        <v>58</v>
      </c>
      <c r="D10" s="1" t="s">
        <v>59</v>
      </c>
      <c r="E10" s="1" t="s">
        <v>45</v>
      </c>
    </row>
    <row r="11" spans="1:5" ht="15" customHeight="1">
      <c r="A11" s="1" t="s">
        <v>67</v>
      </c>
      <c r="B11" s="1" t="s">
        <v>68</v>
      </c>
      <c r="C11" s="1" t="s">
        <v>58</v>
      </c>
      <c r="D11" s="1" t="s">
        <v>59</v>
      </c>
      <c r="E11" s="1" t="s">
        <v>45</v>
      </c>
    </row>
    <row r="12" spans="1:5" ht="15" customHeight="1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48</v>
      </c>
    </row>
    <row r="13" spans="1:5" ht="15" customHeight="1">
      <c r="A13" s="1" t="s">
        <v>73</v>
      </c>
      <c r="B13" s="1" t="s">
        <v>74</v>
      </c>
      <c r="C13" s="1" t="s">
        <v>71</v>
      </c>
      <c r="D13" s="1" t="s">
        <v>72</v>
      </c>
      <c r="E13" s="1" t="s">
        <v>53</v>
      </c>
    </row>
    <row r="14" spans="1:5" ht="15" customHeight="1">
      <c r="A14" s="1" t="s">
        <v>75</v>
      </c>
      <c r="B14" s="1" t="s">
        <v>76</v>
      </c>
      <c r="C14" s="1" t="s">
        <v>71</v>
      </c>
      <c r="D14" s="1" t="s">
        <v>72</v>
      </c>
      <c r="E14" s="1" t="s">
        <v>64</v>
      </c>
    </row>
    <row r="15" spans="1:5" ht="15" customHeight="1">
      <c r="A15" s="1" t="s">
        <v>77</v>
      </c>
      <c r="B15" s="1" t="s">
        <v>76</v>
      </c>
      <c r="C15" s="1" t="s">
        <v>71</v>
      </c>
      <c r="D15" s="1" t="s">
        <v>72</v>
      </c>
      <c r="E15" s="1" t="s">
        <v>53</v>
      </c>
    </row>
    <row r="16" spans="1:5" ht="15" customHeight="1">
      <c r="A16" s="1" t="s">
        <v>78</v>
      </c>
      <c r="B16" s="1" t="s">
        <v>79</v>
      </c>
      <c r="C16" s="1" t="s">
        <v>71</v>
      </c>
      <c r="D16" s="1" t="s">
        <v>72</v>
      </c>
      <c r="E16" s="1" t="s">
        <v>53</v>
      </c>
    </row>
    <row r="17" spans="1:5" ht="15" customHeight="1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64</v>
      </c>
    </row>
    <row r="18" spans="1:5" ht="15" customHeight="1">
      <c r="A18" s="1" t="s">
        <v>84</v>
      </c>
      <c r="B18" s="1" t="s">
        <v>85</v>
      </c>
      <c r="C18" s="1" t="s">
        <v>82</v>
      </c>
      <c r="D18" s="1" t="s">
        <v>83</v>
      </c>
      <c r="E18" s="1" t="s">
        <v>45</v>
      </c>
    </row>
    <row r="19" spans="1:5" ht="15" customHeight="1">
      <c r="A19" s="1" t="s">
        <v>86</v>
      </c>
      <c r="B19" s="1" t="s">
        <v>87</v>
      </c>
      <c r="C19" s="1" t="s">
        <v>82</v>
      </c>
      <c r="D19" s="1" t="s">
        <v>83</v>
      </c>
      <c r="E19" s="1" t="s">
        <v>64</v>
      </c>
    </row>
    <row r="20" spans="1:5" ht="15" customHeight="1">
      <c r="A20" s="1" t="s">
        <v>88</v>
      </c>
      <c r="B20" s="1" t="s">
        <v>89</v>
      </c>
      <c r="C20" s="1" t="s">
        <v>82</v>
      </c>
      <c r="D20" s="1" t="s">
        <v>83</v>
      </c>
      <c r="E20" s="1" t="s">
        <v>64</v>
      </c>
    </row>
    <row r="21" spans="1:5" ht="15" customHeight="1">
      <c r="A21" s="1" t="s">
        <v>90</v>
      </c>
      <c r="B21" s="1" t="s">
        <v>91</v>
      </c>
      <c r="C21" s="1" t="s">
        <v>82</v>
      </c>
      <c r="D21" s="1" t="s">
        <v>83</v>
      </c>
      <c r="E21" s="1" t="s">
        <v>48</v>
      </c>
    </row>
    <row r="22" spans="1:5" ht="15" customHeight="1">
      <c r="A22" s="1" t="s">
        <v>92</v>
      </c>
      <c r="B22" s="1" t="s">
        <v>93</v>
      </c>
      <c r="C22" s="1" t="s">
        <v>94</v>
      </c>
      <c r="D22" s="1" t="s">
        <v>95</v>
      </c>
      <c r="E22" s="1" t="s">
        <v>53</v>
      </c>
    </row>
    <row r="23" spans="1:5" ht="15" customHeight="1">
      <c r="A23" s="1" t="s">
        <v>96</v>
      </c>
      <c r="B23" s="1" t="s">
        <v>97</v>
      </c>
      <c r="C23" s="1" t="s">
        <v>94</v>
      </c>
      <c r="D23" s="1" t="s">
        <v>95</v>
      </c>
      <c r="E23" s="1" t="s">
        <v>48</v>
      </c>
    </row>
    <row r="24" spans="1:5" ht="15" customHeight="1">
      <c r="A24" s="1" t="s">
        <v>98</v>
      </c>
      <c r="B24" s="1" t="s">
        <v>99</v>
      </c>
      <c r="C24" s="1" t="s">
        <v>94</v>
      </c>
      <c r="D24" s="1" t="s">
        <v>95</v>
      </c>
      <c r="E24" s="1" t="s">
        <v>48</v>
      </c>
    </row>
    <row r="25" spans="1:5" ht="15" customHeight="1">
      <c r="A25" s="1" t="s">
        <v>100</v>
      </c>
      <c r="B25" s="1" t="s">
        <v>101</v>
      </c>
      <c r="C25" s="1" t="s">
        <v>94</v>
      </c>
      <c r="D25" s="1" t="s">
        <v>95</v>
      </c>
      <c r="E25" s="1" t="s">
        <v>48</v>
      </c>
    </row>
    <row r="26" spans="1:5" ht="15" customHeight="1">
      <c r="A26" s="1" t="s">
        <v>102</v>
      </c>
      <c r="B26" s="1" t="s">
        <v>103</v>
      </c>
      <c r="C26" s="1" t="s">
        <v>94</v>
      </c>
      <c r="D26" s="1" t="s">
        <v>95</v>
      </c>
      <c r="E26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1"/>
  <sheetViews>
    <sheetView showGridLines="0" workbookViewId="0"/>
  </sheetViews>
  <sheetFormatPr defaultRowHeight="13.8"/>
  <cols>
    <col min="1" max="1" width="8.796875" customWidth="1"/>
    <col min="2" max="2" width="11.8984375" customWidth="1"/>
    <col min="3" max="3" width="8.796875" customWidth="1"/>
    <col min="4" max="4" width="8.296875" customWidth="1"/>
    <col min="5" max="5" width="12.8984375" customWidth="1"/>
    <col min="6" max="6" width="7.796875" customWidth="1"/>
    <col min="7" max="7" width="14.796875" customWidth="1"/>
    <col min="8" max="8" width="19.3984375" customWidth="1"/>
    <col min="9" max="9" width="10.3984375" customWidth="1"/>
    <col min="10" max="10" width="9.19921875" customWidth="1"/>
    <col min="11" max="11" width="7.09765625" customWidth="1"/>
    <col min="12" max="12" width="9.296875" customWidth="1"/>
    <col min="13" max="13" width="9.3984375" customWidth="1"/>
  </cols>
  <sheetData>
    <row r="1" spans="1:13" ht="15" customHeight="1">
      <c r="A1" s="3" t="s">
        <v>104</v>
      </c>
      <c r="B1" s="3" t="s">
        <v>105</v>
      </c>
      <c r="C1" s="3" t="s">
        <v>36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110</v>
      </c>
      <c r="I1" s="3" t="s">
        <v>111</v>
      </c>
      <c r="J1" s="3" t="s">
        <v>112</v>
      </c>
      <c r="K1" s="3" t="s">
        <v>113</v>
      </c>
      <c r="L1" s="3" t="s">
        <v>114</v>
      </c>
      <c r="M1" s="3" t="s">
        <v>115</v>
      </c>
    </row>
    <row r="2" spans="1:13" ht="15" customHeight="1">
      <c r="A2" s="1" t="s">
        <v>116</v>
      </c>
      <c r="B2" s="4">
        <v>45666</v>
      </c>
      <c r="C2" s="1" t="s">
        <v>41</v>
      </c>
      <c r="D2" s="1" t="s">
        <v>117</v>
      </c>
      <c r="E2" s="1" t="s">
        <v>118</v>
      </c>
      <c r="F2" s="1" t="s">
        <v>119</v>
      </c>
      <c r="G2" s="1">
        <v>20.399999999999999</v>
      </c>
      <c r="H2" s="1">
        <v>1</v>
      </c>
      <c r="I2" s="1">
        <v>2</v>
      </c>
      <c r="J2" s="1">
        <v>86.1</v>
      </c>
      <c r="K2" s="1" t="s">
        <v>120</v>
      </c>
      <c r="L2" s="1" t="s">
        <v>121</v>
      </c>
      <c r="M2" s="1" t="s">
        <v>121</v>
      </c>
    </row>
    <row r="3" spans="1:13" ht="15" customHeight="1">
      <c r="A3" s="1" t="s">
        <v>122</v>
      </c>
      <c r="B3" s="4">
        <v>45999</v>
      </c>
      <c r="C3" s="1" t="s">
        <v>49</v>
      </c>
      <c r="D3" s="1" t="s">
        <v>117</v>
      </c>
      <c r="E3" s="1" t="s">
        <v>123</v>
      </c>
      <c r="F3" s="1" t="s">
        <v>119</v>
      </c>
      <c r="G3" s="1">
        <v>2.8</v>
      </c>
      <c r="H3" s="1">
        <v>36</v>
      </c>
      <c r="I3" s="1">
        <v>4</v>
      </c>
      <c r="J3" s="1">
        <v>91.2</v>
      </c>
      <c r="K3" s="1" t="s">
        <v>120</v>
      </c>
      <c r="L3" s="1" t="s">
        <v>121</v>
      </c>
      <c r="M3" s="1" t="s">
        <v>121</v>
      </c>
    </row>
    <row r="4" spans="1:13" ht="15" customHeight="1">
      <c r="A4" s="1" t="s">
        <v>124</v>
      </c>
      <c r="B4" s="4">
        <v>45734</v>
      </c>
      <c r="C4" s="1" t="s">
        <v>65</v>
      </c>
      <c r="D4" s="1" t="s">
        <v>125</v>
      </c>
      <c r="E4" s="1" t="s">
        <v>118</v>
      </c>
      <c r="F4" s="1" t="s">
        <v>126</v>
      </c>
      <c r="G4" s="1">
        <v>54.6</v>
      </c>
      <c r="H4" s="1">
        <v>35</v>
      </c>
      <c r="I4" s="1">
        <v>5</v>
      </c>
      <c r="J4" s="1">
        <v>78.2</v>
      </c>
      <c r="K4" s="1" t="s">
        <v>120</v>
      </c>
      <c r="L4" s="1" t="s">
        <v>121</v>
      </c>
      <c r="M4" s="1" t="s">
        <v>121</v>
      </c>
    </row>
    <row r="5" spans="1:13" ht="15" customHeight="1">
      <c r="A5" s="1" t="s">
        <v>127</v>
      </c>
      <c r="B5" s="4">
        <v>45899</v>
      </c>
      <c r="C5" s="1" t="s">
        <v>41</v>
      </c>
      <c r="D5" s="1" t="s">
        <v>125</v>
      </c>
      <c r="E5" s="1" t="s">
        <v>123</v>
      </c>
      <c r="F5" s="1" t="s">
        <v>128</v>
      </c>
      <c r="G5" s="1">
        <v>19.600000000000001</v>
      </c>
      <c r="H5" s="1">
        <v>34</v>
      </c>
      <c r="I5" s="1">
        <v>4</v>
      </c>
      <c r="J5" s="1">
        <v>92.2</v>
      </c>
      <c r="K5" s="1" t="s">
        <v>120</v>
      </c>
      <c r="L5" s="1" t="s">
        <v>121</v>
      </c>
      <c r="M5" s="1" t="s">
        <v>121</v>
      </c>
    </row>
    <row r="6" spans="1:13" ht="15" customHeight="1">
      <c r="A6" s="1" t="s">
        <v>129</v>
      </c>
      <c r="B6" s="4">
        <v>45662</v>
      </c>
      <c r="C6" s="1" t="s">
        <v>80</v>
      </c>
      <c r="D6" s="1" t="s">
        <v>125</v>
      </c>
      <c r="E6" s="1" t="s">
        <v>130</v>
      </c>
      <c r="F6" s="1" t="s">
        <v>126</v>
      </c>
      <c r="G6" s="1">
        <v>58</v>
      </c>
      <c r="H6" s="1">
        <v>23</v>
      </c>
      <c r="I6" s="1">
        <v>3</v>
      </c>
      <c r="J6" s="1">
        <v>80</v>
      </c>
      <c r="K6" s="1" t="s">
        <v>120</v>
      </c>
      <c r="L6" s="1" t="s">
        <v>121</v>
      </c>
      <c r="M6" s="1" t="s">
        <v>121</v>
      </c>
    </row>
    <row r="7" spans="1:13" ht="15" customHeight="1">
      <c r="A7" s="1" t="s">
        <v>131</v>
      </c>
      <c r="B7" s="4">
        <v>45863</v>
      </c>
      <c r="C7" s="1" t="s">
        <v>69</v>
      </c>
      <c r="D7" s="1" t="s">
        <v>132</v>
      </c>
      <c r="E7" s="1" t="s">
        <v>123</v>
      </c>
      <c r="F7" s="1" t="s">
        <v>126</v>
      </c>
      <c r="G7" s="1">
        <v>5.5</v>
      </c>
      <c r="H7" s="1">
        <v>47</v>
      </c>
      <c r="I7" s="1">
        <v>3</v>
      </c>
      <c r="J7" s="1">
        <v>78.5</v>
      </c>
      <c r="K7" s="1" t="s">
        <v>120</v>
      </c>
      <c r="L7" s="1" t="s">
        <v>121</v>
      </c>
      <c r="M7" s="1" t="s">
        <v>121</v>
      </c>
    </row>
    <row r="8" spans="1:13" ht="15" customHeight="1">
      <c r="A8" s="1" t="s">
        <v>133</v>
      </c>
      <c r="B8" s="4">
        <v>45801</v>
      </c>
      <c r="C8" s="1" t="s">
        <v>75</v>
      </c>
      <c r="D8" s="1" t="s">
        <v>125</v>
      </c>
      <c r="E8" s="1" t="s">
        <v>134</v>
      </c>
      <c r="F8" s="1" t="s">
        <v>135</v>
      </c>
      <c r="G8" s="1">
        <v>3.5</v>
      </c>
      <c r="H8" s="1">
        <v>1</v>
      </c>
      <c r="I8" s="1">
        <v>5</v>
      </c>
      <c r="J8" s="1">
        <v>72.8</v>
      </c>
      <c r="K8" s="1" t="s">
        <v>120</v>
      </c>
      <c r="L8" s="1" t="s">
        <v>121</v>
      </c>
      <c r="M8" s="1" t="s">
        <v>121</v>
      </c>
    </row>
    <row r="9" spans="1:13" ht="15" customHeight="1">
      <c r="A9" s="1" t="s">
        <v>136</v>
      </c>
      <c r="B9" s="4">
        <v>46019</v>
      </c>
      <c r="C9" s="1" t="s">
        <v>60</v>
      </c>
      <c r="D9" s="1" t="s">
        <v>125</v>
      </c>
      <c r="E9" s="1" t="s">
        <v>134</v>
      </c>
      <c r="F9" s="1" t="s">
        <v>128</v>
      </c>
      <c r="G9" s="1">
        <v>22.1</v>
      </c>
      <c r="H9" s="1">
        <v>51</v>
      </c>
      <c r="I9" s="1">
        <v>2</v>
      </c>
      <c r="J9" s="1">
        <v>83.1</v>
      </c>
      <c r="K9" s="1" t="s">
        <v>120</v>
      </c>
      <c r="L9" s="1" t="s">
        <v>121</v>
      </c>
      <c r="M9" s="1" t="s">
        <v>121</v>
      </c>
    </row>
    <row r="10" spans="1:13" ht="15" customHeight="1">
      <c r="A10" s="1" t="s">
        <v>137</v>
      </c>
      <c r="B10" s="4">
        <v>45945</v>
      </c>
      <c r="C10" s="1" t="s">
        <v>92</v>
      </c>
      <c r="D10" s="1" t="s">
        <v>132</v>
      </c>
      <c r="E10" s="1" t="s">
        <v>118</v>
      </c>
      <c r="F10" s="1" t="s">
        <v>128</v>
      </c>
      <c r="G10" s="1">
        <v>8.1</v>
      </c>
      <c r="H10" s="1">
        <v>27</v>
      </c>
      <c r="I10" s="1">
        <v>3</v>
      </c>
      <c r="J10" s="1">
        <v>98.6</v>
      </c>
      <c r="K10" s="1" t="s">
        <v>120</v>
      </c>
      <c r="L10" s="1" t="s">
        <v>138</v>
      </c>
      <c r="M10" s="1" t="s">
        <v>121</v>
      </c>
    </row>
    <row r="11" spans="1:13" ht="15" customHeight="1">
      <c r="A11" s="1" t="s">
        <v>139</v>
      </c>
      <c r="B11" s="4">
        <v>46005</v>
      </c>
      <c r="C11" s="1" t="s">
        <v>90</v>
      </c>
      <c r="D11" s="1" t="s">
        <v>125</v>
      </c>
      <c r="E11" s="1" t="s">
        <v>118</v>
      </c>
      <c r="F11" s="1" t="s">
        <v>128</v>
      </c>
      <c r="G11" s="1">
        <v>0.5</v>
      </c>
      <c r="H11" s="1">
        <v>6</v>
      </c>
      <c r="I11" s="1">
        <v>2</v>
      </c>
      <c r="J11" s="1">
        <v>72</v>
      </c>
      <c r="K11" s="1" t="s">
        <v>120</v>
      </c>
      <c r="L11" s="1" t="s">
        <v>138</v>
      </c>
      <c r="M11" s="1" t="s">
        <v>121</v>
      </c>
    </row>
    <row r="12" spans="1:13" ht="15" customHeight="1">
      <c r="A12" s="1" t="s">
        <v>140</v>
      </c>
      <c r="B12" s="4">
        <v>45682</v>
      </c>
      <c r="C12" s="1" t="s">
        <v>54</v>
      </c>
      <c r="D12" s="1" t="s">
        <v>117</v>
      </c>
      <c r="E12" s="1" t="s">
        <v>130</v>
      </c>
      <c r="F12" s="1" t="s">
        <v>128</v>
      </c>
      <c r="G12" s="1">
        <v>26.7</v>
      </c>
      <c r="H12" s="1">
        <v>20</v>
      </c>
      <c r="I12" s="1">
        <v>5</v>
      </c>
      <c r="J12" s="1">
        <v>88.4</v>
      </c>
      <c r="K12" s="1" t="s">
        <v>120</v>
      </c>
      <c r="L12" s="1" t="s">
        <v>121</v>
      </c>
      <c r="M12" s="1" t="s">
        <v>121</v>
      </c>
    </row>
    <row r="13" spans="1:13" ht="15" customHeight="1">
      <c r="A13" s="1" t="s">
        <v>141</v>
      </c>
      <c r="B13" s="4">
        <v>45791</v>
      </c>
      <c r="C13" s="1" t="s">
        <v>100</v>
      </c>
      <c r="D13" s="1" t="s">
        <v>132</v>
      </c>
      <c r="E13" s="1" t="s">
        <v>134</v>
      </c>
      <c r="F13" s="1" t="s">
        <v>119</v>
      </c>
      <c r="G13" s="1">
        <v>3.4</v>
      </c>
      <c r="H13" s="1">
        <v>46</v>
      </c>
      <c r="I13" s="1">
        <v>5</v>
      </c>
      <c r="J13" s="1">
        <v>81.599999999999994</v>
      </c>
      <c r="K13" s="1" t="s">
        <v>120</v>
      </c>
      <c r="L13" s="1" t="s">
        <v>121</v>
      </c>
      <c r="M13" s="1" t="s">
        <v>121</v>
      </c>
    </row>
    <row r="14" spans="1:13" ht="15" customHeight="1">
      <c r="A14" s="1" t="s">
        <v>142</v>
      </c>
      <c r="B14" s="4">
        <v>45694</v>
      </c>
      <c r="C14" s="1" t="s">
        <v>75</v>
      </c>
      <c r="D14" s="1" t="s">
        <v>125</v>
      </c>
      <c r="E14" s="1" t="s">
        <v>130</v>
      </c>
      <c r="F14" s="1" t="s">
        <v>126</v>
      </c>
      <c r="G14" s="1">
        <v>12.6</v>
      </c>
      <c r="H14" s="1">
        <v>41</v>
      </c>
      <c r="I14" s="1">
        <v>4</v>
      </c>
      <c r="J14" s="1">
        <v>86.9</v>
      </c>
      <c r="K14" s="1" t="s">
        <v>120</v>
      </c>
      <c r="L14" s="1" t="s">
        <v>121</v>
      </c>
      <c r="M14" s="1" t="s">
        <v>121</v>
      </c>
    </row>
    <row r="15" spans="1:13" ht="15" customHeight="1">
      <c r="A15" s="1" t="s">
        <v>143</v>
      </c>
      <c r="B15" s="4">
        <v>45943</v>
      </c>
      <c r="C15" s="1" t="s">
        <v>92</v>
      </c>
      <c r="D15" s="1" t="s">
        <v>132</v>
      </c>
      <c r="E15" s="1" t="s">
        <v>123</v>
      </c>
      <c r="F15" s="1" t="s">
        <v>119</v>
      </c>
      <c r="G15" s="1">
        <v>5.0999999999999996</v>
      </c>
      <c r="H15" s="1">
        <v>15</v>
      </c>
      <c r="I15" s="1">
        <v>5</v>
      </c>
      <c r="J15" s="1">
        <v>88.1</v>
      </c>
      <c r="K15" s="1" t="s">
        <v>120</v>
      </c>
      <c r="L15" s="1" t="s">
        <v>121</v>
      </c>
      <c r="M15" s="1" t="s">
        <v>121</v>
      </c>
    </row>
    <row r="16" spans="1:13" ht="15" customHeight="1">
      <c r="A16" s="1" t="s">
        <v>144</v>
      </c>
      <c r="B16" s="4">
        <v>45915</v>
      </c>
      <c r="C16" s="1" t="s">
        <v>78</v>
      </c>
      <c r="D16" s="1" t="s">
        <v>132</v>
      </c>
      <c r="E16" s="1" t="s">
        <v>145</v>
      </c>
      <c r="F16" s="1" t="s">
        <v>128</v>
      </c>
      <c r="G16" s="1">
        <v>21.3</v>
      </c>
      <c r="H16" s="1">
        <v>26</v>
      </c>
      <c r="I16" s="1">
        <v>3</v>
      </c>
      <c r="J16" s="1">
        <v>82.5</v>
      </c>
      <c r="K16" s="1" t="s">
        <v>120</v>
      </c>
      <c r="L16" s="1" t="s">
        <v>121</v>
      </c>
      <c r="M16" s="1" t="s">
        <v>121</v>
      </c>
    </row>
    <row r="17" spans="1:13" ht="15" customHeight="1">
      <c r="A17" s="1" t="s">
        <v>146</v>
      </c>
      <c r="B17" s="4">
        <v>45910</v>
      </c>
      <c r="C17" s="1" t="s">
        <v>67</v>
      </c>
      <c r="D17" s="1" t="s">
        <v>125</v>
      </c>
      <c r="E17" s="1" t="s">
        <v>147</v>
      </c>
      <c r="F17" s="1" t="s">
        <v>126</v>
      </c>
      <c r="G17" s="1">
        <v>51.6</v>
      </c>
      <c r="H17" s="1">
        <v>57</v>
      </c>
      <c r="I17" s="1">
        <v>5</v>
      </c>
      <c r="J17" s="1">
        <v>82.8</v>
      </c>
      <c r="K17" s="1" t="s">
        <v>120</v>
      </c>
      <c r="L17" s="1" t="s">
        <v>121</v>
      </c>
      <c r="M17" s="1" t="s">
        <v>121</v>
      </c>
    </row>
    <row r="18" spans="1:13" ht="15" customHeight="1">
      <c r="A18" s="1" t="s">
        <v>148</v>
      </c>
      <c r="B18" s="4">
        <v>45879</v>
      </c>
      <c r="C18" s="1" t="s">
        <v>75</v>
      </c>
      <c r="D18" s="1" t="s">
        <v>117</v>
      </c>
      <c r="E18" s="1" t="s">
        <v>147</v>
      </c>
      <c r="F18" s="1" t="s">
        <v>128</v>
      </c>
      <c r="G18" s="1">
        <v>7.4</v>
      </c>
      <c r="H18" s="1">
        <v>20</v>
      </c>
      <c r="I18" s="1">
        <v>5</v>
      </c>
      <c r="J18" s="1">
        <v>96.3</v>
      </c>
      <c r="K18" s="1" t="s">
        <v>120</v>
      </c>
      <c r="L18" s="1" t="s">
        <v>121</v>
      </c>
      <c r="M18" s="1" t="s">
        <v>121</v>
      </c>
    </row>
    <row r="19" spans="1:13" ht="15" customHeight="1">
      <c r="A19" s="1" t="s">
        <v>149</v>
      </c>
      <c r="B19" s="4">
        <v>45856</v>
      </c>
      <c r="C19" s="1" t="s">
        <v>96</v>
      </c>
      <c r="D19" s="1" t="s">
        <v>125</v>
      </c>
      <c r="E19" s="1" t="s">
        <v>118</v>
      </c>
      <c r="F19" s="1" t="s">
        <v>119</v>
      </c>
      <c r="G19" s="1">
        <v>3</v>
      </c>
      <c r="H19" s="1">
        <v>1</v>
      </c>
      <c r="I19" s="1">
        <v>1</v>
      </c>
      <c r="J19" s="1">
        <v>91.7</v>
      </c>
      <c r="K19" s="1" t="s">
        <v>120</v>
      </c>
      <c r="L19" s="1" t="s">
        <v>121</v>
      </c>
      <c r="M19" s="1" t="s">
        <v>121</v>
      </c>
    </row>
    <row r="20" spans="1:13" ht="15" customHeight="1">
      <c r="A20" s="1" t="s">
        <v>150</v>
      </c>
      <c r="B20" s="4">
        <v>45953</v>
      </c>
      <c r="C20" s="1" t="s">
        <v>54</v>
      </c>
      <c r="D20" s="1" t="s">
        <v>117</v>
      </c>
      <c r="E20" s="1" t="s">
        <v>118</v>
      </c>
      <c r="F20" s="1" t="s">
        <v>126</v>
      </c>
      <c r="G20" s="1">
        <v>11.4</v>
      </c>
      <c r="H20" s="1">
        <v>80</v>
      </c>
      <c r="I20" s="1">
        <v>5</v>
      </c>
      <c r="J20" s="1">
        <v>80</v>
      </c>
      <c r="K20" s="1" t="s">
        <v>120</v>
      </c>
      <c r="L20" s="1" t="s">
        <v>121</v>
      </c>
      <c r="M20" s="1" t="s">
        <v>121</v>
      </c>
    </row>
    <row r="21" spans="1:13" ht="15" customHeight="1">
      <c r="A21" s="1" t="s">
        <v>151</v>
      </c>
      <c r="B21" s="4">
        <v>45910</v>
      </c>
      <c r="C21" s="1" t="s">
        <v>69</v>
      </c>
      <c r="D21" s="1" t="s">
        <v>132</v>
      </c>
      <c r="E21" s="1" t="s">
        <v>130</v>
      </c>
      <c r="F21" s="1" t="s">
        <v>128</v>
      </c>
      <c r="G21" s="1">
        <v>7.5</v>
      </c>
      <c r="H21" s="1">
        <v>14</v>
      </c>
      <c r="I21" s="1">
        <v>5</v>
      </c>
      <c r="J21" s="1">
        <v>100</v>
      </c>
      <c r="K21" s="1" t="s">
        <v>120</v>
      </c>
      <c r="L21" s="1" t="s">
        <v>121</v>
      </c>
      <c r="M21" s="1" t="s">
        <v>121</v>
      </c>
    </row>
    <row r="22" spans="1:13" ht="15" customHeight="1">
      <c r="A22" s="1" t="s">
        <v>152</v>
      </c>
      <c r="B22" s="4">
        <v>45670</v>
      </c>
      <c r="C22" s="1" t="s">
        <v>77</v>
      </c>
      <c r="D22" s="1" t="s">
        <v>117</v>
      </c>
      <c r="E22" s="1" t="s">
        <v>118</v>
      </c>
      <c r="F22" s="1" t="s">
        <v>128</v>
      </c>
      <c r="G22" s="1">
        <v>32</v>
      </c>
      <c r="H22" s="1">
        <v>53</v>
      </c>
      <c r="I22" s="1">
        <v>4</v>
      </c>
      <c r="J22" s="1">
        <v>87.5</v>
      </c>
      <c r="K22" s="1" t="s">
        <v>120</v>
      </c>
      <c r="L22" s="1" t="s">
        <v>121</v>
      </c>
      <c r="M22" s="1" t="s">
        <v>121</v>
      </c>
    </row>
    <row r="23" spans="1:13" ht="15" customHeight="1">
      <c r="A23" s="1" t="s">
        <v>153</v>
      </c>
      <c r="B23" s="4">
        <v>45673</v>
      </c>
      <c r="C23" s="1" t="s">
        <v>62</v>
      </c>
      <c r="D23" s="1" t="s">
        <v>125</v>
      </c>
      <c r="E23" s="1" t="s">
        <v>130</v>
      </c>
      <c r="F23" s="1" t="s">
        <v>126</v>
      </c>
      <c r="G23" s="1">
        <v>73.599999999999994</v>
      </c>
      <c r="H23" s="1">
        <v>25</v>
      </c>
      <c r="I23" s="1">
        <v>4</v>
      </c>
      <c r="J23" s="1">
        <v>93</v>
      </c>
      <c r="K23" s="1" t="s">
        <v>120</v>
      </c>
      <c r="L23" s="1" t="s">
        <v>121</v>
      </c>
      <c r="M23" s="1" t="s">
        <v>121</v>
      </c>
    </row>
    <row r="24" spans="1:13" ht="15" customHeight="1">
      <c r="A24" s="1" t="s">
        <v>154</v>
      </c>
      <c r="B24" s="4">
        <v>45674</v>
      </c>
      <c r="C24" s="1" t="s">
        <v>100</v>
      </c>
      <c r="D24" s="1" t="s">
        <v>125</v>
      </c>
      <c r="E24" s="1" t="s">
        <v>134</v>
      </c>
      <c r="F24" s="1" t="s">
        <v>128</v>
      </c>
      <c r="G24" s="1">
        <v>26.9</v>
      </c>
      <c r="H24" s="1">
        <v>1</v>
      </c>
      <c r="I24" s="1">
        <v>4</v>
      </c>
      <c r="J24" s="1">
        <v>85</v>
      </c>
      <c r="K24" s="1" t="s">
        <v>120</v>
      </c>
      <c r="L24" s="1" t="s">
        <v>121</v>
      </c>
      <c r="M24" s="1" t="s">
        <v>121</v>
      </c>
    </row>
    <row r="25" spans="1:13" ht="15" customHeight="1">
      <c r="A25" s="1" t="s">
        <v>155</v>
      </c>
      <c r="B25" s="4">
        <v>45702</v>
      </c>
      <c r="C25" s="1" t="s">
        <v>100</v>
      </c>
      <c r="D25" s="1" t="s">
        <v>132</v>
      </c>
      <c r="E25" s="1" t="s">
        <v>130</v>
      </c>
      <c r="F25" s="1" t="s">
        <v>128</v>
      </c>
      <c r="G25" s="1">
        <v>13</v>
      </c>
      <c r="H25" s="1">
        <v>25</v>
      </c>
      <c r="I25" s="1">
        <v>5</v>
      </c>
      <c r="J25" s="1">
        <v>92.5</v>
      </c>
      <c r="K25" s="1" t="s">
        <v>120</v>
      </c>
      <c r="L25" s="1" t="s">
        <v>121</v>
      </c>
      <c r="M25" s="1" t="s">
        <v>121</v>
      </c>
    </row>
    <row r="26" spans="1:13" ht="15" customHeight="1">
      <c r="A26" s="1" t="s">
        <v>156</v>
      </c>
      <c r="B26" s="4">
        <v>45868</v>
      </c>
      <c r="C26" s="1" t="s">
        <v>80</v>
      </c>
      <c r="D26" s="1" t="s">
        <v>132</v>
      </c>
      <c r="E26" s="1" t="s">
        <v>130</v>
      </c>
      <c r="F26" s="1" t="s">
        <v>128</v>
      </c>
      <c r="G26" s="1">
        <v>25.1</v>
      </c>
      <c r="H26" s="1">
        <v>44</v>
      </c>
      <c r="I26" s="1">
        <v>5</v>
      </c>
      <c r="J26" s="1">
        <v>82.3</v>
      </c>
      <c r="K26" s="1" t="s">
        <v>120</v>
      </c>
      <c r="L26" s="1" t="s">
        <v>121</v>
      </c>
      <c r="M26" s="1" t="s">
        <v>121</v>
      </c>
    </row>
    <row r="27" spans="1:13" ht="15" customHeight="1">
      <c r="A27" s="1" t="s">
        <v>157</v>
      </c>
      <c r="B27" s="4">
        <v>45819</v>
      </c>
      <c r="C27" s="1" t="s">
        <v>41</v>
      </c>
      <c r="D27" s="1" t="s">
        <v>132</v>
      </c>
      <c r="E27" s="1" t="s">
        <v>118</v>
      </c>
      <c r="F27" s="1" t="s">
        <v>126</v>
      </c>
      <c r="G27" s="1">
        <v>27.3</v>
      </c>
      <c r="H27" s="1">
        <v>40</v>
      </c>
      <c r="I27" s="1">
        <v>5</v>
      </c>
      <c r="J27" s="1">
        <v>83.7</v>
      </c>
      <c r="K27" s="1" t="s">
        <v>120</v>
      </c>
      <c r="L27" s="1" t="s">
        <v>121</v>
      </c>
      <c r="M27" s="1" t="s">
        <v>121</v>
      </c>
    </row>
    <row r="28" spans="1:13" ht="15" customHeight="1">
      <c r="A28" s="1" t="s">
        <v>158</v>
      </c>
      <c r="B28" s="4">
        <v>45763</v>
      </c>
      <c r="C28" s="1" t="s">
        <v>92</v>
      </c>
      <c r="D28" s="1" t="s">
        <v>132</v>
      </c>
      <c r="E28" s="1" t="s">
        <v>147</v>
      </c>
      <c r="F28" s="1" t="s">
        <v>128</v>
      </c>
      <c r="G28" s="1">
        <v>14.5</v>
      </c>
      <c r="H28" s="1">
        <v>21</v>
      </c>
      <c r="I28" s="1">
        <v>3</v>
      </c>
      <c r="J28" s="1">
        <v>75.8</v>
      </c>
      <c r="K28" s="1" t="s">
        <v>159</v>
      </c>
      <c r="L28" s="1" t="s">
        <v>121</v>
      </c>
      <c r="M28" s="1" t="s">
        <v>121</v>
      </c>
    </row>
    <row r="29" spans="1:13" ht="15" customHeight="1">
      <c r="A29" s="1" t="s">
        <v>160</v>
      </c>
      <c r="B29" s="4">
        <v>45962</v>
      </c>
      <c r="C29" s="1" t="s">
        <v>56</v>
      </c>
      <c r="D29" s="1" t="s">
        <v>117</v>
      </c>
      <c r="E29" s="1" t="s">
        <v>145</v>
      </c>
      <c r="F29" s="1" t="s">
        <v>128</v>
      </c>
      <c r="G29" s="1">
        <v>9.5</v>
      </c>
      <c r="H29" s="1">
        <v>46</v>
      </c>
      <c r="I29" s="1">
        <v>5</v>
      </c>
      <c r="J29" s="1">
        <v>93.3</v>
      </c>
      <c r="K29" s="1" t="s">
        <v>120</v>
      </c>
      <c r="L29" s="1" t="s">
        <v>138</v>
      </c>
      <c r="M29" s="1" t="s">
        <v>121</v>
      </c>
    </row>
    <row r="30" spans="1:13" ht="15" customHeight="1">
      <c r="A30" s="1" t="s">
        <v>161</v>
      </c>
      <c r="B30" s="4">
        <v>45909</v>
      </c>
      <c r="C30" s="1" t="s">
        <v>54</v>
      </c>
      <c r="D30" s="1" t="s">
        <v>132</v>
      </c>
      <c r="E30" s="1" t="s">
        <v>147</v>
      </c>
      <c r="F30" s="1" t="s">
        <v>126</v>
      </c>
      <c r="G30" s="1">
        <v>30.1</v>
      </c>
      <c r="H30" s="1">
        <v>40</v>
      </c>
      <c r="I30" s="1">
        <v>5</v>
      </c>
      <c r="J30" s="1">
        <v>82.5</v>
      </c>
      <c r="K30" s="1" t="s">
        <v>120</v>
      </c>
      <c r="L30" s="1" t="s">
        <v>121</v>
      </c>
      <c r="M30" s="1" t="s">
        <v>121</v>
      </c>
    </row>
    <row r="31" spans="1:13" ht="15" customHeight="1">
      <c r="A31" s="1" t="s">
        <v>162</v>
      </c>
      <c r="B31" s="4">
        <v>45751</v>
      </c>
      <c r="C31" s="1" t="s">
        <v>73</v>
      </c>
      <c r="D31" s="1" t="s">
        <v>125</v>
      </c>
      <c r="E31" s="1" t="s">
        <v>145</v>
      </c>
      <c r="F31" s="1" t="s">
        <v>126</v>
      </c>
      <c r="G31" s="1">
        <v>89.6</v>
      </c>
      <c r="H31" s="1">
        <v>50</v>
      </c>
      <c r="I31" s="1">
        <v>4</v>
      </c>
      <c r="J31" s="1">
        <v>94.8</v>
      </c>
      <c r="K31" s="1" t="s">
        <v>159</v>
      </c>
      <c r="L31" s="1" t="s">
        <v>121</v>
      </c>
      <c r="M31" s="1" t="s">
        <v>121</v>
      </c>
    </row>
    <row r="32" spans="1:13" ht="15" customHeight="1">
      <c r="A32" s="1" t="s">
        <v>163</v>
      </c>
      <c r="B32" s="4">
        <v>45665</v>
      </c>
      <c r="C32" s="1" t="s">
        <v>96</v>
      </c>
      <c r="D32" s="1" t="s">
        <v>117</v>
      </c>
      <c r="E32" s="1" t="s">
        <v>130</v>
      </c>
      <c r="F32" s="1" t="s">
        <v>126</v>
      </c>
      <c r="G32" s="1">
        <v>37.5</v>
      </c>
      <c r="H32" s="1">
        <v>51</v>
      </c>
      <c r="I32" s="1">
        <v>5</v>
      </c>
      <c r="J32" s="1">
        <v>85.8</v>
      </c>
      <c r="K32" s="1" t="s">
        <v>120</v>
      </c>
      <c r="L32" s="1" t="s">
        <v>121</v>
      </c>
      <c r="M32" s="1" t="s">
        <v>121</v>
      </c>
    </row>
    <row r="33" spans="1:13" ht="15" customHeight="1">
      <c r="A33" s="1" t="s">
        <v>164</v>
      </c>
      <c r="B33" s="4">
        <v>46001</v>
      </c>
      <c r="C33" s="1" t="s">
        <v>51</v>
      </c>
      <c r="D33" s="1" t="s">
        <v>132</v>
      </c>
      <c r="E33" s="1" t="s">
        <v>118</v>
      </c>
      <c r="F33" s="1" t="s">
        <v>126</v>
      </c>
      <c r="G33" s="1">
        <v>59</v>
      </c>
      <c r="H33" s="1">
        <v>29</v>
      </c>
      <c r="I33" s="1">
        <v>5</v>
      </c>
      <c r="J33" s="1">
        <v>72.400000000000006</v>
      </c>
      <c r="K33" s="1" t="s">
        <v>120</v>
      </c>
      <c r="L33" s="1" t="s">
        <v>121</v>
      </c>
      <c r="M33" s="1" t="s">
        <v>121</v>
      </c>
    </row>
    <row r="34" spans="1:13" ht="15" customHeight="1">
      <c r="A34" s="1" t="s">
        <v>165</v>
      </c>
      <c r="B34" s="4">
        <v>45831</v>
      </c>
      <c r="C34" s="1" t="s">
        <v>84</v>
      </c>
      <c r="D34" s="1" t="s">
        <v>125</v>
      </c>
      <c r="E34" s="1" t="s">
        <v>118</v>
      </c>
      <c r="F34" s="1" t="s">
        <v>119</v>
      </c>
      <c r="G34" s="1">
        <v>11.3</v>
      </c>
      <c r="H34" s="1">
        <v>46</v>
      </c>
      <c r="I34" s="1">
        <v>5</v>
      </c>
      <c r="J34" s="1">
        <v>94.3</v>
      </c>
      <c r="K34" s="1" t="s">
        <v>120</v>
      </c>
      <c r="L34" s="1" t="s">
        <v>121</v>
      </c>
      <c r="M34" s="1" t="s">
        <v>138</v>
      </c>
    </row>
    <row r="35" spans="1:13" ht="15" customHeight="1">
      <c r="A35" s="1" t="s">
        <v>166</v>
      </c>
      <c r="B35" s="4">
        <v>45728</v>
      </c>
      <c r="C35" s="1" t="s">
        <v>49</v>
      </c>
      <c r="D35" s="1" t="s">
        <v>125</v>
      </c>
      <c r="E35" s="1" t="s">
        <v>145</v>
      </c>
      <c r="F35" s="1" t="s">
        <v>126</v>
      </c>
      <c r="G35" s="1">
        <v>24.1</v>
      </c>
      <c r="H35" s="1">
        <v>49</v>
      </c>
      <c r="I35" s="1">
        <v>3</v>
      </c>
      <c r="J35" s="1">
        <v>90.1</v>
      </c>
      <c r="K35" s="1" t="s">
        <v>120</v>
      </c>
      <c r="L35" s="1" t="s">
        <v>121</v>
      </c>
      <c r="M35" s="1" t="s">
        <v>121</v>
      </c>
    </row>
    <row r="36" spans="1:13" ht="15" customHeight="1">
      <c r="A36" s="1" t="s">
        <v>167</v>
      </c>
      <c r="B36" s="4">
        <v>45966</v>
      </c>
      <c r="C36" s="1" t="s">
        <v>77</v>
      </c>
      <c r="D36" s="1" t="s">
        <v>117</v>
      </c>
      <c r="E36" s="1" t="s">
        <v>118</v>
      </c>
      <c r="F36" s="1" t="s">
        <v>119</v>
      </c>
      <c r="G36" s="1">
        <v>11.1</v>
      </c>
      <c r="H36" s="1">
        <v>50</v>
      </c>
      <c r="I36" s="1">
        <v>5</v>
      </c>
      <c r="J36" s="1">
        <v>75.900000000000006</v>
      </c>
      <c r="K36" s="1" t="s">
        <v>120</v>
      </c>
      <c r="L36" s="1" t="s">
        <v>138</v>
      </c>
      <c r="M36" s="1" t="s">
        <v>138</v>
      </c>
    </row>
    <row r="37" spans="1:13" ht="15" customHeight="1">
      <c r="A37" s="1" t="s">
        <v>168</v>
      </c>
      <c r="B37" s="4">
        <v>45939</v>
      </c>
      <c r="C37" s="1" t="s">
        <v>54</v>
      </c>
      <c r="D37" s="1" t="s">
        <v>117</v>
      </c>
      <c r="E37" s="1" t="s">
        <v>145</v>
      </c>
      <c r="F37" s="1" t="s">
        <v>126</v>
      </c>
      <c r="G37" s="1">
        <v>59.6</v>
      </c>
      <c r="H37" s="1">
        <v>61</v>
      </c>
      <c r="I37" s="1">
        <v>4</v>
      </c>
      <c r="J37" s="1">
        <v>75.8</v>
      </c>
      <c r="K37" s="1" t="s">
        <v>120</v>
      </c>
      <c r="L37" s="1" t="s">
        <v>121</v>
      </c>
      <c r="M37" s="1" t="s">
        <v>121</v>
      </c>
    </row>
    <row r="38" spans="1:13" ht="15" customHeight="1">
      <c r="A38" s="1" t="s">
        <v>169</v>
      </c>
      <c r="B38" s="4">
        <v>45889</v>
      </c>
      <c r="C38" s="1" t="s">
        <v>84</v>
      </c>
      <c r="D38" s="1" t="s">
        <v>117</v>
      </c>
      <c r="E38" s="1" t="s">
        <v>130</v>
      </c>
      <c r="F38" s="1" t="s">
        <v>128</v>
      </c>
      <c r="G38" s="1">
        <v>30.4</v>
      </c>
      <c r="H38" s="1">
        <v>25</v>
      </c>
      <c r="I38" s="1">
        <v>5</v>
      </c>
      <c r="J38" s="1">
        <v>93.5</v>
      </c>
      <c r="K38" s="1" t="s">
        <v>120</v>
      </c>
      <c r="L38" s="1" t="s">
        <v>121</v>
      </c>
      <c r="M38" s="1" t="s">
        <v>121</v>
      </c>
    </row>
    <row r="39" spans="1:13" ht="15" customHeight="1">
      <c r="A39" s="1" t="s">
        <v>170</v>
      </c>
      <c r="B39" s="4">
        <v>45890</v>
      </c>
      <c r="C39" s="1" t="s">
        <v>51</v>
      </c>
      <c r="D39" s="1" t="s">
        <v>117</v>
      </c>
      <c r="E39" s="1" t="s">
        <v>145</v>
      </c>
      <c r="F39" s="1" t="s">
        <v>119</v>
      </c>
      <c r="G39" s="1">
        <v>12.3</v>
      </c>
      <c r="H39" s="1">
        <v>5</v>
      </c>
      <c r="I39" s="1">
        <v>4</v>
      </c>
      <c r="J39" s="1">
        <v>90.8</v>
      </c>
      <c r="K39" s="1" t="s">
        <v>159</v>
      </c>
      <c r="L39" s="1" t="s">
        <v>121</v>
      </c>
      <c r="M39" s="1" t="s">
        <v>121</v>
      </c>
    </row>
    <row r="40" spans="1:13" ht="15" customHeight="1">
      <c r="A40" s="1" t="s">
        <v>171</v>
      </c>
      <c r="B40" s="4">
        <v>45687</v>
      </c>
      <c r="C40" s="1" t="s">
        <v>41</v>
      </c>
      <c r="D40" s="1" t="s">
        <v>132</v>
      </c>
      <c r="E40" s="1" t="s">
        <v>147</v>
      </c>
      <c r="F40" s="1" t="s">
        <v>128</v>
      </c>
      <c r="G40" s="1">
        <v>28.3</v>
      </c>
      <c r="H40" s="1">
        <v>1</v>
      </c>
      <c r="I40" s="1">
        <v>5</v>
      </c>
      <c r="J40" s="1">
        <v>87.5</v>
      </c>
      <c r="K40" s="1" t="s">
        <v>120</v>
      </c>
      <c r="L40" s="1" t="s">
        <v>121</v>
      </c>
      <c r="M40" s="1" t="s">
        <v>121</v>
      </c>
    </row>
    <row r="41" spans="1:13" ht="15" customHeight="1">
      <c r="A41" s="1" t="s">
        <v>172</v>
      </c>
      <c r="B41" s="4">
        <v>45820</v>
      </c>
      <c r="C41" s="1" t="s">
        <v>92</v>
      </c>
      <c r="D41" s="1" t="s">
        <v>117</v>
      </c>
      <c r="E41" s="1" t="s">
        <v>147</v>
      </c>
      <c r="F41" s="1" t="s">
        <v>119</v>
      </c>
      <c r="G41" s="1">
        <v>7.7</v>
      </c>
      <c r="H41" s="1">
        <v>21</v>
      </c>
      <c r="I41" s="1">
        <v>5</v>
      </c>
      <c r="J41" s="1">
        <v>87.9</v>
      </c>
      <c r="K41" s="1" t="s">
        <v>120</v>
      </c>
      <c r="L41" s="1" t="s">
        <v>121</v>
      </c>
      <c r="M41" s="1" t="s">
        <v>138</v>
      </c>
    </row>
    <row r="42" spans="1:13" ht="15" customHeight="1">
      <c r="A42" s="1" t="s">
        <v>173</v>
      </c>
      <c r="B42" s="4">
        <v>45914</v>
      </c>
      <c r="C42" s="1" t="s">
        <v>67</v>
      </c>
      <c r="D42" s="1" t="s">
        <v>117</v>
      </c>
      <c r="E42" s="1" t="s">
        <v>130</v>
      </c>
      <c r="F42" s="1" t="s">
        <v>128</v>
      </c>
      <c r="G42" s="1">
        <v>16.100000000000001</v>
      </c>
      <c r="H42" s="1">
        <v>23</v>
      </c>
      <c r="I42" s="1">
        <v>5</v>
      </c>
      <c r="J42" s="1">
        <v>75.5</v>
      </c>
      <c r="K42" s="1" t="s">
        <v>120</v>
      </c>
      <c r="L42" s="1" t="s">
        <v>121</v>
      </c>
      <c r="M42" s="1" t="s">
        <v>121</v>
      </c>
    </row>
    <row r="43" spans="1:13" ht="15" customHeight="1">
      <c r="A43" s="1" t="s">
        <v>174</v>
      </c>
      <c r="B43" s="4">
        <v>45986</v>
      </c>
      <c r="C43" s="1" t="s">
        <v>75</v>
      </c>
      <c r="D43" s="1" t="s">
        <v>132</v>
      </c>
      <c r="E43" s="1" t="s">
        <v>134</v>
      </c>
      <c r="F43" s="1" t="s">
        <v>119</v>
      </c>
      <c r="G43" s="1">
        <v>16</v>
      </c>
      <c r="H43" s="1">
        <v>16</v>
      </c>
      <c r="I43" s="1">
        <v>1</v>
      </c>
      <c r="J43" s="1">
        <v>75.900000000000006</v>
      </c>
      <c r="K43" s="1" t="s">
        <v>120</v>
      </c>
      <c r="L43" s="1" t="s">
        <v>121</v>
      </c>
      <c r="M43" s="1" t="s">
        <v>121</v>
      </c>
    </row>
    <row r="44" spans="1:13" ht="15" customHeight="1">
      <c r="A44" s="1" t="s">
        <v>175</v>
      </c>
      <c r="B44" s="4">
        <v>45813</v>
      </c>
      <c r="C44" s="1" t="s">
        <v>96</v>
      </c>
      <c r="D44" s="1" t="s">
        <v>125</v>
      </c>
      <c r="E44" s="1" t="s">
        <v>145</v>
      </c>
      <c r="F44" s="1" t="s">
        <v>126</v>
      </c>
      <c r="G44" s="1">
        <v>66</v>
      </c>
      <c r="H44" s="1">
        <v>38</v>
      </c>
      <c r="I44" s="1">
        <v>5</v>
      </c>
      <c r="J44" s="1">
        <v>91.4</v>
      </c>
      <c r="K44" s="1" t="s">
        <v>120</v>
      </c>
      <c r="L44" s="1" t="s">
        <v>121</v>
      </c>
      <c r="M44" s="1" t="s">
        <v>121</v>
      </c>
    </row>
    <row r="45" spans="1:13" ht="15" customHeight="1">
      <c r="A45" s="1" t="s">
        <v>176</v>
      </c>
      <c r="B45" s="4">
        <v>45863</v>
      </c>
      <c r="C45" s="1" t="s">
        <v>90</v>
      </c>
      <c r="D45" s="1" t="s">
        <v>117</v>
      </c>
      <c r="E45" s="1" t="s">
        <v>118</v>
      </c>
      <c r="F45" s="1" t="s">
        <v>119</v>
      </c>
      <c r="G45" s="1">
        <v>6</v>
      </c>
      <c r="H45" s="1">
        <v>22</v>
      </c>
      <c r="I45" s="1">
        <v>4</v>
      </c>
      <c r="J45" s="1">
        <v>75.3</v>
      </c>
      <c r="K45" s="1" t="s">
        <v>120</v>
      </c>
      <c r="L45" s="1" t="s">
        <v>121</v>
      </c>
      <c r="M45" s="1" t="s">
        <v>121</v>
      </c>
    </row>
    <row r="46" spans="1:13" ht="15" customHeight="1">
      <c r="A46" s="1" t="s">
        <v>177</v>
      </c>
      <c r="B46" s="4">
        <v>45705</v>
      </c>
      <c r="C46" s="1" t="s">
        <v>46</v>
      </c>
      <c r="D46" s="1" t="s">
        <v>117</v>
      </c>
      <c r="E46" s="1" t="s">
        <v>147</v>
      </c>
      <c r="F46" s="1" t="s">
        <v>119</v>
      </c>
      <c r="G46" s="1">
        <v>8.5</v>
      </c>
      <c r="H46" s="1">
        <v>38</v>
      </c>
      <c r="I46" s="1">
        <v>5</v>
      </c>
      <c r="J46" s="1">
        <v>84.7</v>
      </c>
      <c r="K46" s="1" t="s">
        <v>120</v>
      </c>
      <c r="L46" s="1" t="s">
        <v>121</v>
      </c>
      <c r="M46" s="1" t="s">
        <v>121</v>
      </c>
    </row>
    <row r="47" spans="1:13" ht="15" customHeight="1">
      <c r="A47" s="1" t="s">
        <v>178</v>
      </c>
      <c r="B47" s="4">
        <v>45726</v>
      </c>
      <c r="C47" s="1" t="s">
        <v>84</v>
      </c>
      <c r="D47" s="1" t="s">
        <v>125</v>
      </c>
      <c r="E47" s="1" t="s">
        <v>130</v>
      </c>
      <c r="F47" s="1" t="s">
        <v>128</v>
      </c>
      <c r="G47" s="1">
        <v>31.7</v>
      </c>
      <c r="H47" s="1">
        <v>42</v>
      </c>
      <c r="I47" s="1">
        <v>5</v>
      </c>
      <c r="J47" s="1">
        <v>81.2</v>
      </c>
      <c r="K47" s="1" t="s">
        <v>120</v>
      </c>
      <c r="L47" s="1" t="s">
        <v>121</v>
      </c>
      <c r="M47" s="1" t="s">
        <v>121</v>
      </c>
    </row>
    <row r="48" spans="1:13" ht="15" customHeight="1">
      <c r="A48" s="1" t="s">
        <v>179</v>
      </c>
      <c r="B48" s="4">
        <v>45874</v>
      </c>
      <c r="C48" s="1" t="s">
        <v>98</v>
      </c>
      <c r="D48" s="1" t="s">
        <v>132</v>
      </c>
      <c r="E48" s="1" t="s">
        <v>123</v>
      </c>
      <c r="F48" s="1" t="s">
        <v>126</v>
      </c>
      <c r="G48" s="1">
        <v>39.799999999999997</v>
      </c>
      <c r="H48" s="1">
        <v>26</v>
      </c>
      <c r="I48" s="1">
        <v>5</v>
      </c>
      <c r="J48" s="1">
        <v>81.5</v>
      </c>
      <c r="K48" s="1" t="s">
        <v>120</v>
      </c>
      <c r="L48" s="1" t="s">
        <v>121</v>
      </c>
      <c r="M48" s="1" t="s">
        <v>121</v>
      </c>
    </row>
    <row r="49" spans="1:13" ht="15" customHeight="1">
      <c r="A49" s="1" t="s">
        <v>180</v>
      </c>
      <c r="B49" s="4">
        <v>45984</v>
      </c>
      <c r="C49" s="1" t="s">
        <v>80</v>
      </c>
      <c r="D49" s="1" t="s">
        <v>132</v>
      </c>
      <c r="E49" s="1" t="s">
        <v>118</v>
      </c>
      <c r="F49" s="1" t="s">
        <v>119</v>
      </c>
      <c r="G49" s="1">
        <v>8.6999999999999993</v>
      </c>
      <c r="H49" s="1">
        <v>2</v>
      </c>
      <c r="I49" s="1">
        <v>5</v>
      </c>
      <c r="J49" s="1">
        <v>93.4</v>
      </c>
      <c r="K49" s="1" t="s">
        <v>120</v>
      </c>
      <c r="L49" s="1" t="s">
        <v>121</v>
      </c>
      <c r="M49" s="1" t="s">
        <v>121</v>
      </c>
    </row>
    <row r="50" spans="1:13" ht="15" customHeight="1">
      <c r="A50" s="1" t="s">
        <v>181</v>
      </c>
      <c r="B50" s="4">
        <v>45677</v>
      </c>
      <c r="C50" s="1" t="s">
        <v>49</v>
      </c>
      <c r="D50" s="1" t="s">
        <v>125</v>
      </c>
      <c r="E50" s="1" t="s">
        <v>147</v>
      </c>
      <c r="F50" s="1" t="s">
        <v>128</v>
      </c>
      <c r="G50" s="1">
        <v>24.3</v>
      </c>
      <c r="H50" s="1">
        <v>50</v>
      </c>
      <c r="I50" s="1">
        <v>5</v>
      </c>
      <c r="J50" s="1">
        <v>98.2</v>
      </c>
      <c r="K50" s="1" t="s">
        <v>120</v>
      </c>
      <c r="L50" s="1" t="s">
        <v>121</v>
      </c>
      <c r="M50" s="1" t="s">
        <v>121</v>
      </c>
    </row>
    <row r="51" spans="1:13" ht="15" customHeight="1">
      <c r="A51" s="1" t="s">
        <v>182</v>
      </c>
      <c r="B51" s="4">
        <v>45662</v>
      </c>
      <c r="C51" s="1" t="s">
        <v>80</v>
      </c>
      <c r="D51" s="1" t="s">
        <v>132</v>
      </c>
      <c r="E51" s="1" t="s">
        <v>145</v>
      </c>
      <c r="F51" s="1" t="s">
        <v>128</v>
      </c>
      <c r="G51" s="1">
        <v>26.1</v>
      </c>
      <c r="H51" s="1">
        <v>39</v>
      </c>
      <c r="I51" s="1">
        <v>4</v>
      </c>
      <c r="J51" s="1">
        <v>89</v>
      </c>
      <c r="K51" s="1" t="s">
        <v>120</v>
      </c>
      <c r="L51" s="1" t="s">
        <v>121</v>
      </c>
      <c r="M51" s="1" t="s">
        <v>121</v>
      </c>
    </row>
    <row r="52" spans="1:13" ht="15" customHeight="1">
      <c r="A52" s="1" t="s">
        <v>183</v>
      </c>
      <c r="B52" s="4">
        <v>46016</v>
      </c>
      <c r="C52" s="1" t="s">
        <v>69</v>
      </c>
      <c r="D52" s="1" t="s">
        <v>132</v>
      </c>
      <c r="E52" s="1" t="s">
        <v>147</v>
      </c>
      <c r="F52" s="1" t="s">
        <v>126</v>
      </c>
      <c r="G52" s="1">
        <v>38.200000000000003</v>
      </c>
      <c r="H52" s="1">
        <v>1</v>
      </c>
      <c r="I52" s="1">
        <v>3</v>
      </c>
      <c r="J52" s="1">
        <v>100</v>
      </c>
      <c r="K52" s="1" t="s">
        <v>120</v>
      </c>
      <c r="L52" s="1" t="s">
        <v>121</v>
      </c>
      <c r="M52" s="1" t="s">
        <v>121</v>
      </c>
    </row>
    <row r="53" spans="1:13" ht="15" customHeight="1">
      <c r="A53" s="1" t="s">
        <v>184</v>
      </c>
      <c r="B53" s="4">
        <v>45704</v>
      </c>
      <c r="C53" s="1" t="s">
        <v>46</v>
      </c>
      <c r="D53" s="1" t="s">
        <v>125</v>
      </c>
      <c r="E53" s="1" t="s">
        <v>134</v>
      </c>
      <c r="F53" s="1" t="s">
        <v>128</v>
      </c>
      <c r="G53" s="1">
        <v>19.600000000000001</v>
      </c>
      <c r="H53" s="1">
        <v>42</v>
      </c>
      <c r="I53" s="1">
        <v>4</v>
      </c>
      <c r="J53" s="1">
        <v>100</v>
      </c>
      <c r="K53" s="1" t="s">
        <v>120</v>
      </c>
      <c r="L53" s="1" t="s">
        <v>121</v>
      </c>
      <c r="M53" s="1" t="s">
        <v>121</v>
      </c>
    </row>
    <row r="54" spans="1:13" ht="15" customHeight="1">
      <c r="A54" s="1" t="s">
        <v>185</v>
      </c>
      <c r="B54" s="4">
        <v>45735</v>
      </c>
      <c r="C54" s="1" t="s">
        <v>90</v>
      </c>
      <c r="D54" s="1" t="s">
        <v>132</v>
      </c>
      <c r="E54" s="1" t="s">
        <v>118</v>
      </c>
      <c r="F54" s="1" t="s">
        <v>126</v>
      </c>
      <c r="G54" s="1">
        <v>65.400000000000006</v>
      </c>
      <c r="H54" s="1">
        <v>31</v>
      </c>
      <c r="I54" s="1">
        <v>2</v>
      </c>
      <c r="J54" s="1">
        <v>80.5</v>
      </c>
      <c r="K54" s="1" t="s">
        <v>120</v>
      </c>
      <c r="L54" s="1" t="s">
        <v>121</v>
      </c>
      <c r="M54" s="1" t="s">
        <v>121</v>
      </c>
    </row>
    <row r="55" spans="1:13" ht="15" customHeight="1">
      <c r="A55" s="1" t="s">
        <v>186</v>
      </c>
      <c r="B55" s="4">
        <v>45875</v>
      </c>
      <c r="C55" s="1" t="s">
        <v>102</v>
      </c>
      <c r="D55" s="1" t="s">
        <v>125</v>
      </c>
      <c r="E55" s="1" t="s">
        <v>118</v>
      </c>
      <c r="F55" s="1" t="s">
        <v>126</v>
      </c>
      <c r="G55" s="1">
        <v>36.799999999999997</v>
      </c>
      <c r="H55" s="1">
        <v>6</v>
      </c>
      <c r="I55" s="1">
        <v>2</v>
      </c>
      <c r="J55" s="1">
        <v>100</v>
      </c>
      <c r="K55" s="1" t="s">
        <v>120</v>
      </c>
      <c r="L55" s="1" t="s">
        <v>121</v>
      </c>
      <c r="M55" s="1" t="s">
        <v>121</v>
      </c>
    </row>
    <row r="56" spans="1:13" ht="15" customHeight="1">
      <c r="A56" s="1" t="s">
        <v>187</v>
      </c>
      <c r="B56" s="4">
        <v>46010</v>
      </c>
      <c r="C56" s="1" t="s">
        <v>46</v>
      </c>
      <c r="D56" s="1" t="s">
        <v>117</v>
      </c>
      <c r="E56" s="1" t="s">
        <v>134</v>
      </c>
      <c r="F56" s="1" t="s">
        <v>128</v>
      </c>
      <c r="G56" s="1">
        <v>24.3</v>
      </c>
      <c r="H56" s="1">
        <v>6</v>
      </c>
      <c r="I56" s="1">
        <v>5</v>
      </c>
      <c r="J56" s="1">
        <v>82.3</v>
      </c>
      <c r="K56" s="1" t="s">
        <v>120</v>
      </c>
      <c r="L56" s="1" t="s">
        <v>121</v>
      </c>
      <c r="M56" s="1" t="s">
        <v>121</v>
      </c>
    </row>
    <row r="57" spans="1:13" ht="15" customHeight="1">
      <c r="A57" s="1" t="s">
        <v>188</v>
      </c>
      <c r="B57" s="4">
        <v>45839</v>
      </c>
      <c r="C57" s="1" t="s">
        <v>56</v>
      </c>
      <c r="D57" s="1" t="s">
        <v>117</v>
      </c>
      <c r="E57" s="1" t="s">
        <v>145</v>
      </c>
      <c r="F57" s="1" t="s">
        <v>126</v>
      </c>
      <c r="G57" s="1">
        <v>57.6</v>
      </c>
      <c r="H57" s="1">
        <v>45</v>
      </c>
      <c r="I57" s="1">
        <v>4</v>
      </c>
      <c r="J57" s="1">
        <v>82.5</v>
      </c>
      <c r="K57" s="1" t="s">
        <v>120</v>
      </c>
      <c r="L57" s="1" t="s">
        <v>121</v>
      </c>
      <c r="M57" s="1" t="s">
        <v>121</v>
      </c>
    </row>
    <row r="58" spans="1:13" ht="15" customHeight="1">
      <c r="A58" s="1" t="s">
        <v>189</v>
      </c>
      <c r="B58" s="4">
        <v>45908</v>
      </c>
      <c r="C58" s="1" t="s">
        <v>60</v>
      </c>
      <c r="D58" s="1" t="s">
        <v>132</v>
      </c>
      <c r="E58" s="1" t="s">
        <v>118</v>
      </c>
      <c r="F58" s="1" t="s">
        <v>126</v>
      </c>
      <c r="G58" s="1">
        <v>36.4</v>
      </c>
      <c r="H58" s="1">
        <v>92</v>
      </c>
      <c r="I58" s="1">
        <v>1</v>
      </c>
      <c r="J58" s="1">
        <v>81.8</v>
      </c>
      <c r="K58" s="1" t="s">
        <v>120</v>
      </c>
      <c r="L58" s="1" t="s">
        <v>121</v>
      </c>
      <c r="M58" s="1" t="s">
        <v>121</v>
      </c>
    </row>
    <row r="59" spans="1:13" ht="15" customHeight="1">
      <c r="A59" s="1" t="s">
        <v>190</v>
      </c>
      <c r="B59" s="4">
        <v>45894</v>
      </c>
      <c r="C59" s="1" t="s">
        <v>84</v>
      </c>
      <c r="D59" s="1" t="s">
        <v>132</v>
      </c>
      <c r="E59" s="1" t="s">
        <v>130</v>
      </c>
      <c r="F59" s="1" t="s">
        <v>126</v>
      </c>
      <c r="G59" s="1">
        <v>34.799999999999997</v>
      </c>
      <c r="H59" s="1">
        <v>22</v>
      </c>
      <c r="I59" s="1">
        <v>4</v>
      </c>
      <c r="J59" s="1">
        <v>87.3</v>
      </c>
      <c r="K59" s="1" t="s">
        <v>120</v>
      </c>
      <c r="L59" s="1" t="s">
        <v>121</v>
      </c>
      <c r="M59" s="1" t="s">
        <v>121</v>
      </c>
    </row>
    <row r="60" spans="1:13" ht="15" customHeight="1">
      <c r="A60" s="1" t="s">
        <v>191</v>
      </c>
      <c r="B60" s="4">
        <v>46000</v>
      </c>
      <c r="C60" s="1" t="s">
        <v>78</v>
      </c>
      <c r="D60" s="1" t="s">
        <v>117</v>
      </c>
      <c r="E60" s="1" t="s">
        <v>147</v>
      </c>
      <c r="F60" s="1" t="s">
        <v>119</v>
      </c>
      <c r="G60" s="1">
        <v>3.2</v>
      </c>
      <c r="H60" s="1">
        <v>17</v>
      </c>
      <c r="I60" s="1">
        <v>4</v>
      </c>
      <c r="J60" s="1">
        <v>89.4</v>
      </c>
      <c r="K60" s="1" t="s">
        <v>120</v>
      </c>
      <c r="L60" s="1" t="s">
        <v>121</v>
      </c>
      <c r="M60" s="1" t="s">
        <v>121</v>
      </c>
    </row>
    <row r="61" spans="1:13" ht="15" customHeight="1">
      <c r="A61" s="1" t="s">
        <v>192</v>
      </c>
      <c r="B61" s="4">
        <v>45952</v>
      </c>
      <c r="C61" s="1" t="s">
        <v>62</v>
      </c>
      <c r="D61" s="1" t="s">
        <v>132</v>
      </c>
      <c r="E61" s="1" t="s">
        <v>134</v>
      </c>
      <c r="F61" s="1" t="s">
        <v>128</v>
      </c>
      <c r="G61" s="1">
        <v>29.1</v>
      </c>
      <c r="H61" s="1">
        <v>63</v>
      </c>
      <c r="I61" s="1">
        <v>2</v>
      </c>
      <c r="J61" s="1">
        <v>79.7</v>
      </c>
      <c r="K61" s="1" t="s">
        <v>120</v>
      </c>
      <c r="L61" s="1" t="s">
        <v>121</v>
      </c>
      <c r="M61" s="1" t="s">
        <v>121</v>
      </c>
    </row>
    <row r="62" spans="1:13" ht="15" customHeight="1">
      <c r="A62" s="1" t="s">
        <v>193</v>
      </c>
      <c r="B62" s="4">
        <v>45983</v>
      </c>
      <c r="C62" s="1" t="s">
        <v>78</v>
      </c>
      <c r="D62" s="1" t="s">
        <v>132</v>
      </c>
      <c r="E62" s="1" t="s">
        <v>147</v>
      </c>
      <c r="F62" s="1" t="s">
        <v>128</v>
      </c>
      <c r="G62" s="1">
        <v>25.2</v>
      </c>
      <c r="H62" s="1">
        <v>44</v>
      </c>
      <c r="I62" s="1">
        <v>1</v>
      </c>
      <c r="J62" s="1">
        <v>92.8</v>
      </c>
      <c r="K62" s="1" t="s">
        <v>120</v>
      </c>
      <c r="L62" s="1" t="s">
        <v>121</v>
      </c>
      <c r="M62" s="1" t="s">
        <v>121</v>
      </c>
    </row>
    <row r="63" spans="1:13" ht="15" customHeight="1">
      <c r="A63" s="1" t="s">
        <v>194</v>
      </c>
      <c r="B63" s="4">
        <v>45827</v>
      </c>
      <c r="C63" s="1" t="s">
        <v>88</v>
      </c>
      <c r="D63" s="1" t="s">
        <v>132</v>
      </c>
      <c r="E63" s="1" t="s">
        <v>118</v>
      </c>
      <c r="F63" s="1" t="s">
        <v>126</v>
      </c>
      <c r="G63" s="1">
        <v>77.7</v>
      </c>
      <c r="H63" s="1">
        <v>22</v>
      </c>
      <c r="I63" s="1">
        <v>3</v>
      </c>
      <c r="J63" s="1">
        <v>94</v>
      </c>
      <c r="K63" s="1" t="s">
        <v>120</v>
      </c>
      <c r="L63" s="1" t="s">
        <v>121</v>
      </c>
      <c r="M63" s="1" t="s">
        <v>121</v>
      </c>
    </row>
    <row r="64" spans="1:13" ht="15" customHeight="1">
      <c r="A64" s="1" t="s">
        <v>195</v>
      </c>
      <c r="B64" s="4">
        <v>45954</v>
      </c>
      <c r="C64" s="1" t="s">
        <v>77</v>
      </c>
      <c r="D64" s="1" t="s">
        <v>117</v>
      </c>
      <c r="E64" s="1" t="s">
        <v>118</v>
      </c>
      <c r="F64" s="1" t="s">
        <v>128</v>
      </c>
      <c r="G64" s="1">
        <v>23.4</v>
      </c>
      <c r="H64" s="1">
        <v>19</v>
      </c>
      <c r="I64" s="1">
        <v>4</v>
      </c>
      <c r="J64" s="1">
        <v>70</v>
      </c>
      <c r="K64" s="1" t="s">
        <v>120</v>
      </c>
      <c r="L64" s="1" t="s">
        <v>121</v>
      </c>
      <c r="M64" s="1" t="s">
        <v>121</v>
      </c>
    </row>
    <row r="65" spans="1:13" ht="15" customHeight="1">
      <c r="A65" s="1" t="s">
        <v>196</v>
      </c>
      <c r="B65" s="4">
        <v>45760</v>
      </c>
      <c r="C65" s="1" t="s">
        <v>46</v>
      </c>
      <c r="D65" s="1" t="s">
        <v>132</v>
      </c>
      <c r="E65" s="1" t="s">
        <v>147</v>
      </c>
      <c r="F65" s="1" t="s">
        <v>119</v>
      </c>
      <c r="G65" s="1">
        <v>6.4</v>
      </c>
      <c r="H65" s="1">
        <v>11</v>
      </c>
      <c r="I65" s="1">
        <v>2</v>
      </c>
      <c r="J65" s="1">
        <v>88.8</v>
      </c>
      <c r="K65" s="1" t="s">
        <v>120</v>
      </c>
      <c r="L65" s="1" t="s">
        <v>138</v>
      </c>
      <c r="M65" s="1" t="s">
        <v>121</v>
      </c>
    </row>
    <row r="66" spans="1:13" ht="15" customHeight="1">
      <c r="A66" s="1" t="s">
        <v>197</v>
      </c>
      <c r="B66" s="4">
        <v>45740</v>
      </c>
      <c r="C66" s="1" t="s">
        <v>75</v>
      </c>
      <c r="D66" s="1" t="s">
        <v>125</v>
      </c>
      <c r="E66" s="1" t="s">
        <v>123</v>
      </c>
      <c r="F66" s="1" t="s">
        <v>126</v>
      </c>
      <c r="G66" s="1">
        <v>17.8</v>
      </c>
      <c r="H66" s="1">
        <v>33</v>
      </c>
      <c r="I66" s="1">
        <v>4</v>
      </c>
      <c r="J66" s="1">
        <v>90.5</v>
      </c>
      <c r="K66" s="1" t="s">
        <v>120</v>
      </c>
      <c r="L66" s="1" t="s">
        <v>121</v>
      </c>
      <c r="M66" s="1" t="s">
        <v>121</v>
      </c>
    </row>
    <row r="67" spans="1:13" ht="15" customHeight="1">
      <c r="A67" s="1" t="s">
        <v>198</v>
      </c>
      <c r="B67" s="4">
        <v>45968</v>
      </c>
      <c r="C67" s="1" t="s">
        <v>77</v>
      </c>
      <c r="D67" s="1" t="s">
        <v>117</v>
      </c>
      <c r="E67" s="1" t="s">
        <v>130</v>
      </c>
      <c r="F67" s="1" t="s">
        <v>135</v>
      </c>
      <c r="G67" s="1">
        <v>5.5</v>
      </c>
      <c r="H67" s="1">
        <v>10</v>
      </c>
      <c r="I67" s="1">
        <v>5</v>
      </c>
      <c r="J67" s="1">
        <v>97.7</v>
      </c>
      <c r="K67" s="1" t="s">
        <v>120</v>
      </c>
      <c r="L67" s="1" t="s">
        <v>121</v>
      </c>
      <c r="M67" s="1" t="s">
        <v>121</v>
      </c>
    </row>
    <row r="68" spans="1:13" ht="15" customHeight="1">
      <c r="A68" s="1" t="s">
        <v>199</v>
      </c>
      <c r="B68" s="4">
        <v>45809</v>
      </c>
      <c r="C68" s="1" t="s">
        <v>96</v>
      </c>
      <c r="D68" s="1" t="s">
        <v>125</v>
      </c>
      <c r="E68" s="1" t="s">
        <v>130</v>
      </c>
      <c r="F68" s="1" t="s">
        <v>135</v>
      </c>
      <c r="G68" s="1">
        <v>2.9</v>
      </c>
      <c r="H68" s="1">
        <v>43</v>
      </c>
      <c r="I68" s="1">
        <v>5</v>
      </c>
      <c r="J68" s="1">
        <v>95.8</v>
      </c>
      <c r="K68" s="1" t="s">
        <v>159</v>
      </c>
      <c r="L68" s="1" t="s">
        <v>121</v>
      </c>
      <c r="M68" s="1" t="s">
        <v>138</v>
      </c>
    </row>
    <row r="69" spans="1:13" ht="15" customHeight="1">
      <c r="A69" s="1" t="s">
        <v>200</v>
      </c>
      <c r="B69" s="4">
        <v>45909</v>
      </c>
      <c r="C69" s="1" t="s">
        <v>88</v>
      </c>
      <c r="D69" s="1" t="s">
        <v>117</v>
      </c>
      <c r="E69" s="1" t="s">
        <v>145</v>
      </c>
      <c r="F69" s="1" t="s">
        <v>128</v>
      </c>
      <c r="G69" s="1">
        <v>30.1</v>
      </c>
      <c r="H69" s="1">
        <v>11</v>
      </c>
      <c r="I69" s="1">
        <v>4</v>
      </c>
      <c r="J69" s="1">
        <v>73.5</v>
      </c>
      <c r="K69" s="1" t="s">
        <v>120</v>
      </c>
      <c r="L69" s="1" t="s">
        <v>121</v>
      </c>
      <c r="M69" s="1" t="s">
        <v>121</v>
      </c>
    </row>
    <row r="70" spans="1:13" ht="15" customHeight="1">
      <c r="A70" s="1" t="s">
        <v>201</v>
      </c>
      <c r="B70" s="4">
        <v>45731</v>
      </c>
      <c r="C70" s="1" t="s">
        <v>77</v>
      </c>
      <c r="D70" s="1" t="s">
        <v>125</v>
      </c>
      <c r="E70" s="1" t="s">
        <v>123</v>
      </c>
      <c r="F70" s="1" t="s">
        <v>126</v>
      </c>
      <c r="G70" s="1">
        <v>32.6</v>
      </c>
      <c r="H70" s="1">
        <v>30</v>
      </c>
      <c r="I70" s="1">
        <v>4</v>
      </c>
      <c r="J70" s="1">
        <v>83.2</v>
      </c>
      <c r="K70" s="1" t="s">
        <v>120</v>
      </c>
      <c r="L70" s="1" t="s">
        <v>121</v>
      </c>
      <c r="M70" s="1" t="s">
        <v>121</v>
      </c>
    </row>
    <row r="71" spans="1:13" ht="15" customHeight="1">
      <c r="A71" s="1" t="s">
        <v>202</v>
      </c>
      <c r="B71" s="4">
        <v>45932</v>
      </c>
      <c r="C71" s="1" t="s">
        <v>46</v>
      </c>
      <c r="D71" s="1" t="s">
        <v>117</v>
      </c>
      <c r="E71" s="1" t="s">
        <v>134</v>
      </c>
      <c r="F71" s="1" t="s">
        <v>128</v>
      </c>
      <c r="G71" s="1">
        <v>15.9</v>
      </c>
      <c r="H71" s="1">
        <v>34</v>
      </c>
      <c r="I71" s="1">
        <v>4</v>
      </c>
      <c r="J71" s="1">
        <v>92.7</v>
      </c>
      <c r="K71" s="1" t="s">
        <v>120</v>
      </c>
      <c r="L71" s="1" t="s">
        <v>138</v>
      </c>
      <c r="M71" s="1" t="s">
        <v>121</v>
      </c>
    </row>
    <row r="72" spans="1:13" ht="15" customHeight="1">
      <c r="A72" s="1" t="s">
        <v>203</v>
      </c>
      <c r="B72" s="4">
        <v>45891</v>
      </c>
      <c r="C72" s="1" t="s">
        <v>65</v>
      </c>
      <c r="D72" s="1" t="s">
        <v>117</v>
      </c>
      <c r="E72" s="1" t="s">
        <v>134</v>
      </c>
      <c r="F72" s="1" t="s">
        <v>126</v>
      </c>
      <c r="G72" s="1">
        <v>37.9</v>
      </c>
      <c r="H72" s="1">
        <v>31</v>
      </c>
      <c r="I72" s="1">
        <v>1</v>
      </c>
      <c r="J72" s="1">
        <v>87.8</v>
      </c>
      <c r="K72" s="1" t="s">
        <v>120</v>
      </c>
      <c r="L72" s="1" t="s">
        <v>121</v>
      </c>
      <c r="M72" s="1" t="s">
        <v>121</v>
      </c>
    </row>
    <row r="73" spans="1:13" ht="15" customHeight="1">
      <c r="A73" s="1" t="s">
        <v>204</v>
      </c>
      <c r="B73" s="4">
        <v>45671</v>
      </c>
      <c r="C73" s="1" t="s">
        <v>62</v>
      </c>
      <c r="D73" s="1" t="s">
        <v>117</v>
      </c>
      <c r="E73" s="1" t="s">
        <v>134</v>
      </c>
      <c r="F73" s="1" t="s">
        <v>126</v>
      </c>
      <c r="G73" s="1">
        <v>47.3</v>
      </c>
      <c r="H73" s="1">
        <v>47</v>
      </c>
      <c r="I73" s="1">
        <v>5</v>
      </c>
      <c r="J73" s="1">
        <v>78.900000000000006</v>
      </c>
      <c r="K73" s="1" t="s">
        <v>120</v>
      </c>
      <c r="L73" s="1" t="s">
        <v>121</v>
      </c>
      <c r="M73" s="1" t="s">
        <v>121</v>
      </c>
    </row>
    <row r="74" spans="1:13" ht="15" customHeight="1">
      <c r="A74" s="1" t="s">
        <v>205</v>
      </c>
      <c r="B74" s="4">
        <v>45747</v>
      </c>
      <c r="C74" s="1" t="s">
        <v>73</v>
      </c>
      <c r="D74" s="1" t="s">
        <v>125</v>
      </c>
      <c r="E74" s="1" t="s">
        <v>130</v>
      </c>
      <c r="F74" s="1" t="s">
        <v>126</v>
      </c>
      <c r="G74" s="1">
        <v>24.1</v>
      </c>
      <c r="H74" s="1">
        <v>33</v>
      </c>
      <c r="I74" s="1">
        <v>5</v>
      </c>
      <c r="J74" s="1">
        <v>79.2</v>
      </c>
      <c r="K74" s="1" t="s">
        <v>120</v>
      </c>
      <c r="L74" s="1" t="s">
        <v>121</v>
      </c>
      <c r="M74" s="1" t="s">
        <v>121</v>
      </c>
    </row>
    <row r="75" spans="1:13" ht="15" customHeight="1">
      <c r="A75" s="1" t="s">
        <v>206</v>
      </c>
      <c r="B75" s="4">
        <v>45716</v>
      </c>
      <c r="C75" s="1" t="s">
        <v>41</v>
      </c>
      <c r="D75" s="1" t="s">
        <v>132</v>
      </c>
      <c r="E75" s="1" t="s">
        <v>123</v>
      </c>
      <c r="F75" s="1" t="s">
        <v>119</v>
      </c>
      <c r="G75" s="1">
        <v>1.4</v>
      </c>
      <c r="H75" s="1">
        <v>1</v>
      </c>
      <c r="I75" s="1">
        <v>4</v>
      </c>
      <c r="J75" s="1">
        <v>90.4</v>
      </c>
      <c r="K75" s="1" t="s">
        <v>120</v>
      </c>
      <c r="L75" s="1" t="s">
        <v>121</v>
      </c>
      <c r="M75" s="1" t="s">
        <v>121</v>
      </c>
    </row>
    <row r="76" spans="1:13" ht="15" customHeight="1">
      <c r="A76" s="1" t="s">
        <v>207</v>
      </c>
      <c r="B76" s="4">
        <v>45849</v>
      </c>
      <c r="C76" s="1" t="s">
        <v>86</v>
      </c>
      <c r="D76" s="1" t="s">
        <v>125</v>
      </c>
      <c r="E76" s="1" t="s">
        <v>118</v>
      </c>
      <c r="F76" s="1" t="s">
        <v>128</v>
      </c>
      <c r="G76" s="1">
        <v>30.6</v>
      </c>
      <c r="H76" s="1">
        <v>33</v>
      </c>
      <c r="I76" s="1">
        <v>2</v>
      </c>
      <c r="J76" s="1">
        <v>76.3</v>
      </c>
      <c r="K76" s="1" t="s">
        <v>159</v>
      </c>
      <c r="L76" s="1" t="s">
        <v>121</v>
      </c>
      <c r="M76" s="1" t="s">
        <v>121</v>
      </c>
    </row>
    <row r="77" spans="1:13" ht="15" customHeight="1">
      <c r="A77" s="1" t="s">
        <v>208</v>
      </c>
      <c r="B77" s="4">
        <v>45908</v>
      </c>
      <c r="C77" s="1" t="s">
        <v>60</v>
      </c>
      <c r="D77" s="1" t="s">
        <v>132</v>
      </c>
      <c r="E77" s="1" t="s">
        <v>118</v>
      </c>
      <c r="F77" s="1" t="s">
        <v>119</v>
      </c>
      <c r="G77" s="1">
        <v>0.5</v>
      </c>
      <c r="H77" s="1">
        <v>18</v>
      </c>
      <c r="I77" s="1">
        <v>5</v>
      </c>
      <c r="J77" s="1">
        <v>86.4</v>
      </c>
      <c r="K77" s="1" t="s">
        <v>120</v>
      </c>
      <c r="L77" s="1" t="s">
        <v>121</v>
      </c>
      <c r="M77" s="1" t="s">
        <v>121</v>
      </c>
    </row>
    <row r="78" spans="1:13" ht="15" customHeight="1">
      <c r="A78" s="1" t="s">
        <v>209</v>
      </c>
      <c r="B78" s="4">
        <v>45744</v>
      </c>
      <c r="C78" s="1" t="s">
        <v>49</v>
      </c>
      <c r="D78" s="1" t="s">
        <v>132</v>
      </c>
      <c r="E78" s="1" t="s">
        <v>130</v>
      </c>
      <c r="F78" s="1" t="s">
        <v>126</v>
      </c>
      <c r="G78" s="1">
        <v>56.9</v>
      </c>
      <c r="H78" s="1">
        <v>83</v>
      </c>
      <c r="I78" s="1">
        <v>1</v>
      </c>
      <c r="J78" s="1">
        <v>75.599999999999994</v>
      </c>
      <c r="K78" s="1" t="s">
        <v>120</v>
      </c>
      <c r="L78" s="1" t="s">
        <v>121</v>
      </c>
      <c r="M78" s="1" t="s">
        <v>121</v>
      </c>
    </row>
    <row r="79" spans="1:13" ht="15" customHeight="1">
      <c r="A79" s="1" t="s">
        <v>210</v>
      </c>
      <c r="B79" s="4">
        <v>45830</v>
      </c>
      <c r="C79" s="1" t="s">
        <v>41</v>
      </c>
      <c r="D79" s="1" t="s">
        <v>117</v>
      </c>
      <c r="E79" s="1" t="s">
        <v>147</v>
      </c>
      <c r="F79" s="1" t="s">
        <v>128</v>
      </c>
      <c r="G79" s="1">
        <v>23.9</v>
      </c>
      <c r="H79" s="1">
        <v>57</v>
      </c>
      <c r="I79" s="1">
        <v>4</v>
      </c>
      <c r="J79" s="1">
        <v>78.7</v>
      </c>
      <c r="K79" s="1" t="s">
        <v>120</v>
      </c>
      <c r="L79" s="1" t="s">
        <v>121</v>
      </c>
      <c r="M79" s="1" t="s">
        <v>121</v>
      </c>
    </row>
    <row r="80" spans="1:13" ht="15" customHeight="1">
      <c r="A80" s="1" t="s">
        <v>211</v>
      </c>
      <c r="B80" s="4">
        <v>45928</v>
      </c>
      <c r="C80" s="1" t="s">
        <v>49</v>
      </c>
      <c r="D80" s="1" t="s">
        <v>125</v>
      </c>
      <c r="E80" s="1" t="s">
        <v>130</v>
      </c>
      <c r="F80" s="1" t="s">
        <v>135</v>
      </c>
      <c r="G80" s="1">
        <v>3</v>
      </c>
      <c r="H80" s="1">
        <v>39</v>
      </c>
      <c r="I80" s="1">
        <v>5</v>
      </c>
      <c r="J80" s="1">
        <v>100</v>
      </c>
      <c r="K80" s="1" t="s">
        <v>120</v>
      </c>
      <c r="L80" s="1" t="s">
        <v>121</v>
      </c>
      <c r="M80" s="1" t="s">
        <v>121</v>
      </c>
    </row>
    <row r="81" spans="1:13" ht="15" customHeight="1">
      <c r="A81" s="1" t="s">
        <v>212</v>
      </c>
      <c r="B81" s="4">
        <v>45779</v>
      </c>
      <c r="C81" s="1" t="s">
        <v>65</v>
      </c>
      <c r="D81" s="1" t="s">
        <v>125</v>
      </c>
      <c r="E81" s="1" t="s">
        <v>147</v>
      </c>
      <c r="F81" s="1" t="s">
        <v>128</v>
      </c>
      <c r="G81" s="1">
        <v>26.4</v>
      </c>
      <c r="H81" s="1">
        <v>23</v>
      </c>
      <c r="I81" s="1">
        <v>5</v>
      </c>
      <c r="J81" s="1">
        <v>75.5</v>
      </c>
      <c r="K81" s="1" t="s">
        <v>120</v>
      </c>
      <c r="L81" s="1" t="s">
        <v>121</v>
      </c>
      <c r="M81" s="1" t="s">
        <v>121</v>
      </c>
    </row>
    <row r="82" spans="1:13" ht="15" customHeight="1">
      <c r="A82" s="1" t="s">
        <v>213</v>
      </c>
      <c r="B82" s="4">
        <v>45662</v>
      </c>
      <c r="C82" s="1" t="s">
        <v>88</v>
      </c>
      <c r="D82" s="1" t="s">
        <v>125</v>
      </c>
      <c r="E82" s="1" t="s">
        <v>145</v>
      </c>
      <c r="F82" s="1" t="s">
        <v>119</v>
      </c>
      <c r="G82" s="1">
        <v>7.8</v>
      </c>
      <c r="H82" s="1">
        <v>60</v>
      </c>
      <c r="I82" s="1">
        <v>4</v>
      </c>
      <c r="J82" s="1">
        <v>90.7</v>
      </c>
      <c r="K82" s="1" t="s">
        <v>120</v>
      </c>
      <c r="L82" s="1" t="s">
        <v>121</v>
      </c>
      <c r="M82" s="1" t="s">
        <v>121</v>
      </c>
    </row>
    <row r="83" spans="1:13" ht="15" customHeight="1">
      <c r="A83" s="1" t="s">
        <v>214</v>
      </c>
      <c r="B83" s="4">
        <v>45821</v>
      </c>
      <c r="C83" s="1" t="s">
        <v>73</v>
      </c>
      <c r="D83" s="1" t="s">
        <v>125</v>
      </c>
      <c r="E83" s="1" t="s">
        <v>118</v>
      </c>
      <c r="F83" s="1" t="s">
        <v>128</v>
      </c>
      <c r="G83" s="1">
        <v>23</v>
      </c>
      <c r="H83" s="1">
        <v>48</v>
      </c>
      <c r="I83" s="1">
        <v>2</v>
      </c>
      <c r="J83" s="1">
        <v>93.5</v>
      </c>
      <c r="K83" s="1" t="s">
        <v>120</v>
      </c>
      <c r="L83" s="1" t="s">
        <v>121</v>
      </c>
      <c r="M83" s="1" t="s">
        <v>121</v>
      </c>
    </row>
    <row r="84" spans="1:13" ht="15" customHeight="1">
      <c r="A84" s="1" t="s">
        <v>215</v>
      </c>
      <c r="B84" s="4">
        <v>45858</v>
      </c>
      <c r="C84" s="1" t="s">
        <v>102</v>
      </c>
      <c r="D84" s="1" t="s">
        <v>132</v>
      </c>
      <c r="E84" s="1" t="s">
        <v>145</v>
      </c>
      <c r="F84" s="1" t="s">
        <v>128</v>
      </c>
      <c r="G84" s="1">
        <v>32.299999999999997</v>
      </c>
      <c r="H84" s="1">
        <v>42</v>
      </c>
      <c r="I84" s="1">
        <v>2</v>
      </c>
      <c r="J84" s="1">
        <v>79.7</v>
      </c>
      <c r="K84" s="1" t="s">
        <v>120</v>
      </c>
      <c r="L84" s="1" t="s">
        <v>138</v>
      </c>
      <c r="M84" s="1" t="s">
        <v>121</v>
      </c>
    </row>
    <row r="85" spans="1:13" ht="15" customHeight="1">
      <c r="A85" s="1" t="s">
        <v>216</v>
      </c>
      <c r="B85" s="4">
        <v>45849</v>
      </c>
      <c r="C85" s="1" t="s">
        <v>73</v>
      </c>
      <c r="D85" s="1" t="s">
        <v>132</v>
      </c>
      <c r="E85" s="1" t="s">
        <v>123</v>
      </c>
      <c r="F85" s="1" t="s">
        <v>126</v>
      </c>
      <c r="G85" s="1">
        <v>51.7</v>
      </c>
      <c r="H85" s="1">
        <v>60</v>
      </c>
      <c r="I85" s="1">
        <v>3</v>
      </c>
      <c r="J85" s="1">
        <v>86.2</v>
      </c>
      <c r="K85" s="1" t="s">
        <v>120</v>
      </c>
      <c r="L85" s="1" t="s">
        <v>121</v>
      </c>
      <c r="M85" s="1" t="s">
        <v>121</v>
      </c>
    </row>
    <row r="86" spans="1:13" ht="15" customHeight="1">
      <c r="A86" s="1" t="s">
        <v>217</v>
      </c>
      <c r="B86" s="4">
        <v>45863</v>
      </c>
      <c r="C86" s="1" t="s">
        <v>86</v>
      </c>
      <c r="D86" s="1" t="s">
        <v>125</v>
      </c>
      <c r="E86" s="1" t="s">
        <v>147</v>
      </c>
      <c r="F86" s="1" t="s">
        <v>128</v>
      </c>
      <c r="G86" s="1">
        <v>35.9</v>
      </c>
      <c r="H86" s="1">
        <v>68</v>
      </c>
      <c r="I86" s="1">
        <v>4</v>
      </c>
      <c r="J86" s="1">
        <v>83.3</v>
      </c>
      <c r="K86" s="1" t="s">
        <v>120</v>
      </c>
      <c r="L86" s="1" t="s">
        <v>121</v>
      </c>
      <c r="M86" s="1" t="s">
        <v>121</v>
      </c>
    </row>
    <row r="87" spans="1:13" ht="15" customHeight="1">
      <c r="A87" s="1" t="s">
        <v>218</v>
      </c>
      <c r="B87" s="4">
        <v>45721</v>
      </c>
      <c r="C87" s="1" t="s">
        <v>67</v>
      </c>
      <c r="D87" s="1" t="s">
        <v>117</v>
      </c>
      <c r="E87" s="1" t="s">
        <v>147</v>
      </c>
      <c r="F87" s="1" t="s">
        <v>119</v>
      </c>
      <c r="G87" s="1">
        <v>14.8</v>
      </c>
      <c r="H87" s="1">
        <v>23</v>
      </c>
      <c r="I87" s="1">
        <v>2</v>
      </c>
      <c r="J87" s="1">
        <v>75.7</v>
      </c>
      <c r="K87" s="1" t="s">
        <v>120</v>
      </c>
      <c r="L87" s="1" t="s">
        <v>121</v>
      </c>
      <c r="M87" s="1" t="s">
        <v>121</v>
      </c>
    </row>
    <row r="88" spans="1:13" ht="15" customHeight="1">
      <c r="A88" s="1" t="s">
        <v>219</v>
      </c>
      <c r="B88" s="4">
        <v>45999</v>
      </c>
      <c r="C88" s="1" t="s">
        <v>86</v>
      </c>
      <c r="D88" s="1" t="s">
        <v>132</v>
      </c>
      <c r="E88" s="1" t="s">
        <v>118</v>
      </c>
      <c r="F88" s="1" t="s">
        <v>119</v>
      </c>
      <c r="G88" s="1">
        <v>14.8</v>
      </c>
      <c r="H88" s="1">
        <v>51</v>
      </c>
      <c r="I88" s="1">
        <v>3</v>
      </c>
      <c r="J88" s="1">
        <v>79.8</v>
      </c>
      <c r="K88" s="1" t="s">
        <v>120</v>
      </c>
      <c r="L88" s="1" t="s">
        <v>121</v>
      </c>
      <c r="M88" s="1" t="s">
        <v>121</v>
      </c>
    </row>
    <row r="89" spans="1:13" ht="15" customHeight="1">
      <c r="A89" s="1" t="s">
        <v>220</v>
      </c>
      <c r="B89" s="4">
        <v>45796</v>
      </c>
      <c r="C89" s="1" t="s">
        <v>41</v>
      </c>
      <c r="D89" s="1" t="s">
        <v>125</v>
      </c>
      <c r="E89" s="1" t="s">
        <v>145</v>
      </c>
      <c r="F89" s="1" t="s">
        <v>126</v>
      </c>
      <c r="G89" s="1">
        <v>22.9</v>
      </c>
      <c r="H89" s="1">
        <v>35</v>
      </c>
      <c r="I89" s="1">
        <v>4</v>
      </c>
      <c r="J89" s="1">
        <v>75.5</v>
      </c>
      <c r="K89" s="1" t="s">
        <v>120</v>
      </c>
      <c r="L89" s="1" t="s">
        <v>121</v>
      </c>
      <c r="M89" s="1" t="s">
        <v>138</v>
      </c>
    </row>
    <row r="90" spans="1:13" ht="15" customHeight="1">
      <c r="A90" s="1" t="s">
        <v>221</v>
      </c>
      <c r="B90" s="4">
        <v>45923</v>
      </c>
      <c r="C90" s="1" t="s">
        <v>49</v>
      </c>
      <c r="D90" s="1" t="s">
        <v>117</v>
      </c>
      <c r="E90" s="1" t="s">
        <v>123</v>
      </c>
      <c r="F90" s="1" t="s">
        <v>128</v>
      </c>
      <c r="G90" s="1">
        <v>15.4</v>
      </c>
      <c r="H90" s="1">
        <v>55</v>
      </c>
      <c r="I90" s="1">
        <v>4</v>
      </c>
      <c r="J90" s="1">
        <v>93.7</v>
      </c>
      <c r="K90" s="1" t="s">
        <v>159</v>
      </c>
      <c r="L90" s="1" t="s">
        <v>121</v>
      </c>
      <c r="M90" s="1" t="s">
        <v>121</v>
      </c>
    </row>
    <row r="91" spans="1:13" ht="15" customHeight="1">
      <c r="A91" s="1" t="s">
        <v>222</v>
      </c>
      <c r="B91" s="4">
        <v>45868</v>
      </c>
      <c r="C91" s="1" t="s">
        <v>80</v>
      </c>
      <c r="D91" s="1" t="s">
        <v>132</v>
      </c>
      <c r="E91" s="1" t="s">
        <v>145</v>
      </c>
      <c r="F91" s="1" t="s">
        <v>119</v>
      </c>
      <c r="G91" s="1">
        <v>17.5</v>
      </c>
      <c r="H91" s="1">
        <v>24</v>
      </c>
      <c r="I91" s="1">
        <v>4</v>
      </c>
      <c r="J91" s="1">
        <v>89.7</v>
      </c>
      <c r="K91" s="1" t="s">
        <v>120</v>
      </c>
      <c r="L91" s="1" t="s">
        <v>121</v>
      </c>
      <c r="M91" s="1" t="s">
        <v>121</v>
      </c>
    </row>
    <row r="92" spans="1:13" ht="15" customHeight="1">
      <c r="A92" s="1" t="s">
        <v>223</v>
      </c>
      <c r="B92" s="4">
        <v>45914</v>
      </c>
      <c r="C92" s="1" t="s">
        <v>65</v>
      </c>
      <c r="D92" s="1" t="s">
        <v>125</v>
      </c>
      <c r="E92" s="1" t="s">
        <v>147</v>
      </c>
      <c r="F92" s="1" t="s">
        <v>128</v>
      </c>
      <c r="G92" s="1">
        <v>17</v>
      </c>
      <c r="H92" s="1">
        <v>62</v>
      </c>
      <c r="I92" s="1">
        <v>5</v>
      </c>
      <c r="J92" s="1">
        <v>96.5</v>
      </c>
      <c r="K92" s="1" t="s">
        <v>120</v>
      </c>
      <c r="L92" s="1" t="s">
        <v>121</v>
      </c>
      <c r="M92" s="1" t="s">
        <v>121</v>
      </c>
    </row>
    <row r="93" spans="1:13" ht="15" customHeight="1">
      <c r="A93" s="1" t="s">
        <v>224</v>
      </c>
      <c r="B93" s="4">
        <v>45738</v>
      </c>
      <c r="C93" s="1" t="s">
        <v>75</v>
      </c>
      <c r="D93" s="1" t="s">
        <v>117</v>
      </c>
      <c r="E93" s="1" t="s">
        <v>147</v>
      </c>
      <c r="F93" s="1" t="s">
        <v>126</v>
      </c>
      <c r="G93" s="1">
        <v>24.1</v>
      </c>
      <c r="H93" s="1">
        <v>45</v>
      </c>
      <c r="I93" s="1">
        <v>4</v>
      </c>
      <c r="J93" s="1">
        <v>89.3</v>
      </c>
      <c r="K93" s="1" t="s">
        <v>120</v>
      </c>
      <c r="L93" s="1" t="s">
        <v>138</v>
      </c>
      <c r="M93" s="1" t="s">
        <v>121</v>
      </c>
    </row>
    <row r="94" spans="1:13" ht="15" customHeight="1">
      <c r="A94" s="1" t="s">
        <v>225</v>
      </c>
      <c r="B94" s="4">
        <v>45974</v>
      </c>
      <c r="C94" s="1" t="s">
        <v>77</v>
      </c>
      <c r="D94" s="1" t="s">
        <v>125</v>
      </c>
      <c r="E94" s="1" t="s">
        <v>130</v>
      </c>
      <c r="F94" s="1" t="s">
        <v>128</v>
      </c>
      <c r="G94" s="1">
        <v>0.5</v>
      </c>
      <c r="H94" s="1">
        <v>24</v>
      </c>
      <c r="I94" s="1">
        <v>3</v>
      </c>
      <c r="J94" s="1">
        <v>100</v>
      </c>
      <c r="K94" s="1" t="s">
        <v>120</v>
      </c>
      <c r="L94" s="1" t="s">
        <v>138</v>
      </c>
      <c r="M94" s="1" t="s">
        <v>121</v>
      </c>
    </row>
    <row r="95" spans="1:13" ht="15" customHeight="1">
      <c r="A95" s="1" t="s">
        <v>226</v>
      </c>
      <c r="B95" s="4">
        <v>45824</v>
      </c>
      <c r="C95" s="1" t="s">
        <v>54</v>
      </c>
      <c r="D95" s="1" t="s">
        <v>125</v>
      </c>
      <c r="E95" s="1" t="s">
        <v>118</v>
      </c>
      <c r="F95" s="1" t="s">
        <v>119</v>
      </c>
      <c r="G95" s="1">
        <v>9.9</v>
      </c>
      <c r="H95" s="1">
        <v>1</v>
      </c>
      <c r="I95" s="1">
        <v>4</v>
      </c>
      <c r="J95" s="1">
        <v>84.8</v>
      </c>
      <c r="K95" s="1" t="s">
        <v>120</v>
      </c>
      <c r="L95" s="1" t="s">
        <v>121</v>
      </c>
      <c r="M95" s="1" t="s">
        <v>121</v>
      </c>
    </row>
    <row r="96" spans="1:13" ht="15" customHeight="1">
      <c r="A96" s="1" t="s">
        <v>227</v>
      </c>
      <c r="B96" s="4">
        <v>45856</v>
      </c>
      <c r="C96" s="1" t="s">
        <v>90</v>
      </c>
      <c r="D96" s="1" t="s">
        <v>117</v>
      </c>
      <c r="E96" s="1" t="s">
        <v>118</v>
      </c>
      <c r="F96" s="1" t="s">
        <v>119</v>
      </c>
      <c r="G96" s="1">
        <v>3.4</v>
      </c>
      <c r="H96" s="1">
        <v>42</v>
      </c>
      <c r="I96" s="1">
        <v>2</v>
      </c>
      <c r="J96" s="1">
        <v>93.5</v>
      </c>
      <c r="K96" s="1" t="s">
        <v>120</v>
      </c>
      <c r="L96" s="1" t="s">
        <v>121</v>
      </c>
      <c r="M96" s="1" t="s">
        <v>121</v>
      </c>
    </row>
    <row r="97" spans="1:13" ht="15" customHeight="1">
      <c r="A97" s="1" t="s">
        <v>228</v>
      </c>
      <c r="B97" s="4">
        <v>45744</v>
      </c>
      <c r="C97" s="1" t="s">
        <v>49</v>
      </c>
      <c r="D97" s="1" t="s">
        <v>117</v>
      </c>
      <c r="E97" s="1" t="s">
        <v>145</v>
      </c>
      <c r="F97" s="1" t="s">
        <v>128</v>
      </c>
      <c r="G97" s="1">
        <v>18.8</v>
      </c>
      <c r="H97" s="1">
        <v>21</v>
      </c>
      <c r="I97" s="1">
        <v>3</v>
      </c>
      <c r="J97" s="1">
        <v>88.6</v>
      </c>
      <c r="K97" s="1" t="s">
        <v>120</v>
      </c>
      <c r="L97" s="1" t="s">
        <v>121</v>
      </c>
      <c r="M97" s="1" t="s">
        <v>121</v>
      </c>
    </row>
    <row r="98" spans="1:13" ht="15" customHeight="1">
      <c r="A98" s="1" t="s">
        <v>229</v>
      </c>
      <c r="B98" s="4">
        <v>45840</v>
      </c>
      <c r="C98" s="1" t="s">
        <v>100</v>
      </c>
      <c r="D98" s="1" t="s">
        <v>132</v>
      </c>
      <c r="E98" s="1" t="s">
        <v>145</v>
      </c>
      <c r="F98" s="1" t="s">
        <v>128</v>
      </c>
      <c r="G98" s="1">
        <v>40.700000000000003</v>
      </c>
      <c r="H98" s="1">
        <v>4</v>
      </c>
      <c r="I98" s="1">
        <v>3</v>
      </c>
      <c r="J98" s="1">
        <v>100</v>
      </c>
      <c r="K98" s="1" t="s">
        <v>120</v>
      </c>
      <c r="L98" s="1" t="s">
        <v>121</v>
      </c>
      <c r="M98" s="1" t="s">
        <v>121</v>
      </c>
    </row>
    <row r="99" spans="1:13" ht="15" customHeight="1">
      <c r="A99" s="1" t="s">
        <v>230</v>
      </c>
      <c r="B99" s="4">
        <v>45787</v>
      </c>
      <c r="C99" s="1" t="s">
        <v>51</v>
      </c>
      <c r="D99" s="1" t="s">
        <v>117</v>
      </c>
      <c r="E99" s="1" t="s">
        <v>123</v>
      </c>
      <c r="F99" s="1" t="s">
        <v>126</v>
      </c>
      <c r="G99" s="1">
        <v>52.4</v>
      </c>
      <c r="H99" s="1">
        <v>65</v>
      </c>
      <c r="I99" s="1">
        <v>3</v>
      </c>
      <c r="J99" s="1">
        <v>84.3</v>
      </c>
      <c r="K99" s="1" t="s">
        <v>120</v>
      </c>
      <c r="L99" s="1" t="s">
        <v>121</v>
      </c>
      <c r="M99" s="1" t="s">
        <v>121</v>
      </c>
    </row>
    <row r="100" spans="1:13" ht="15" customHeight="1">
      <c r="A100" s="1" t="s">
        <v>231</v>
      </c>
      <c r="B100" s="4">
        <v>45675</v>
      </c>
      <c r="C100" s="1" t="s">
        <v>86</v>
      </c>
      <c r="D100" s="1" t="s">
        <v>132</v>
      </c>
      <c r="E100" s="1" t="s">
        <v>123</v>
      </c>
      <c r="F100" s="1" t="s">
        <v>128</v>
      </c>
      <c r="G100" s="1">
        <v>31.7</v>
      </c>
      <c r="H100" s="1">
        <v>36</v>
      </c>
      <c r="I100" s="1">
        <v>2</v>
      </c>
      <c r="J100" s="1">
        <v>79.7</v>
      </c>
      <c r="K100" s="1" t="s">
        <v>120</v>
      </c>
      <c r="L100" s="1" t="s">
        <v>121</v>
      </c>
      <c r="M100" s="1" t="s">
        <v>121</v>
      </c>
    </row>
    <row r="101" spans="1:13" ht="15" customHeight="1">
      <c r="A101" s="1" t="s">
        <v>232</v>
      </c>
      <c r="B101" s="4">
        <v>46009</v>
      </c>
      <c r="C101" s="1" t="s">
        <v>78</v>
      </c>
      <c r="D101" s="1" t="s">
        <v>132</v>
      </c>
      <c r="E101" s="1" t="s">
        <v>147</v>
      </c>
      <c r="F101" s="1" t="s">
        <v>126</v>
      </c>
      <c r="G101" s="1">
        <v>62.7</v>
      </c>
      <c r="H101" s="1">
        <v>14</v>
      </c>
      <c r="I101" s="1">
        <v>1</v>
      </c>
      <c r="J101" s="1">
        <v>93.1</v>
      </c>
      <c r="K101" s="1" t="s">
        <v>120</v>
      </c>
      <c r="L101" s="1" t="s">
        <v>121</v>
      </c>
      <c r="M101" s="1" t="s">
        <v>121</v>
      </c>
    </row>
    <row r="102" spans="1:13" ht="15" customHeight="1">
      <c r="A102" s="1" t="s">
        <v>233</v>
      </c>
      <c r="B102" s="4">
        <v>45792</v>
      </c>
      <c r="C102" s="1" t="s">
        <v>100</v>
      </c>
      <c r="D102" s="1" t="s">
        <v>125</v>
      </c>
      <c r="E102" s="1" t="s">
        <v>145</v>
      </c>
      <c r="F102" s="1" t="s">
        <v>119</v>
      </c>
      <c r="G102" s="1">
        <v>0.5</v>
      </c>
      <c r="H102" s="1">
        <v>19</v>
      </c>
      <c r="I102" s="1">
        <v>5</v>
      </c>
      <c r="J102" s="1">
        <v>83.1</v>
      </c>
      <c r="K102" s="1" t="s">
        <v>120</v>
      </c>
      <c r="L102" s="1" t="s">
        <v>121</v>
      </c>
      <c r="M102" s="1" t="s">
        <v>138</v>
      </c>
    </row>
    <row r="103" spans="1:13" ht="15" customHeight="1">
      <c r="A103" s="1" t="s">
        <v>234</v>
      </c>
      <c r="B103" s="4">
        <v>45809</v>
      </c>
      <c r="C103" s="1" t="s">
        <v>62</v>
      </c>
      <c r="D103" s="1" t="s">
        <v>117</v>
      </c>
      <c r="E103" s="1" t="s">
        <v>145</v>
      </c>
      <c r="F103" s="1" t="s">
        <v>128</v>
      </c>
      <c r="G103" s="1">
        <v>14.3</v>
      </c>
      <c r="H103" s="1">
        <v>58</v>
      </c>
      <c r="I103" s="1">
        <v>5</v>
      </c>
      <c r="J103" s="1">
        <v>81</v>
      </c>
      <c r="K103" s="1" t="s">
        <v>120</v>
      </c>
      <c r="L103" s="1" t="s">
        <v>121</v>
      </c>
      <c r="M103" s="1" t="s">
        <v>121</v>
      </c>
    </row>
    <row r="104" spans="1:13" ht="15" customHeight="1">
      <c r="A104" s="1" t="s">
        <v>235</v>
      </c>
      <c r="B104" s="4">
        <v>45719</v>
      </c>
      <c r="C104" s="1" t="s">
        <v>90</v>
      </c>
      <c r="D104" s="1" t="s">
        <v>125</v>
      </c>
      <c r="E104" s="1" t="s">
        <v>118</v>
      </c>
      <c r="F104" s="1" t="s">
        <v>128</v>
      </c>
      <c r="G104" s="1">
        <v>19.600000000000001</v>
      </c>
      <c r="H104" s="1">
        <v>42</v>
      </c>
      <c r="I104" s="1">
        <v>4</v>
      </c>
      <c r="J104" s="1">
        <v>89.8</v>
      </c>
      <c r="K104" s="1" t="s">
        <v>159</v>
      </c>
      <c r="L104" s="1" t="s">
        <v>121</v>
      </c>
      <c r="M104" s="1" t="s">
        <v>121</v>
      </c>
    </row>
    <row r="105" spans="1:13" ht="15" customHeight="1">
      <c r="A105" s="1" t="s">
        <v>236</v>
      </c>
      <c r="B105" s="4">
        <v>45897</v>
      </c>
      <c r="C105" s="1" t="s">
        <v>100</v>
      </c>
      <c r="D105" s="1" t="s">
        <v>132</v>
      </c>
      <c r="E105" s="1" t="s">
        <v>118</v>
      </c>
      <c r="F105" s="1" t="s">
        <v>119</v>
      </c>
      <c r="G105" s="1">
        <v>10.8</v>
      </c>
      <c r="H105" s="1">
        <v>1</v>
      </c>
      <c r="I105" s="1">
        <v>5</v>
      </c>
      <c r="J105" s="1">
        <v>85</v>
      </c>
      <c r="K105" s="1" t="s">
        <v>159</v>
      </c>
      <c r="L105" s="1" t="s">
        <v>138</v>
      </c>
      <c r="M105" s="1" t="s">
        <v>121</v>
      </c>
    </row>
    <row r="106" spans="1:13" ht="15" customHeight="1">
      <c r="A106" s="1" t="s">
        <v>237</v>
      </c>
      <c r="B106" s="4">
        <v>45954</v>
      </c>
      <c r="C106" s="1" t="s">
        <v>77</v>
      </c>
      <c r="D106" s="1" t="s">
        <v>117</v>
      </c>
      <c r="E106" s="1" t="s">
        <v>130</v>
      </c>
      <c r="F106" s="1" t="s">
        <v>126</v>
      </c>
      <c r="G106" s="1">
        <v>49.7</v>
      </c>
      <c r="H106" s="1">
        <v>44</v>
      </c>
      <c r="I106" s="1">
        <v>5</v>
      </c>
      <c r="J106" s="1">
        <v>82.8</v>
      </c>
      <c r="K106" s="1" t="s">
        <v>120</v>
      </c>
      <c r="L106" s="1" t="s">
        <v>121</v>
      </c>
      <c r="M106" s="1" t="s">
        <v>121</v>
      </c>
    </row>
    <row r="107" spans="1:13" ht="15" customHeight="1">
      <c r="A107" s="1" t="s">
        <v>238</v>
      </c>
      <c r="B107" s="4">
        <v>45996</v>
      </c>
      <c r="C107" s="1" t="s">
        <v>98</v>
      </c>
      <c r="D107" s="1" t="s">
        <v>125</v>
      </c>
      <c r="E107" s="1" t="s">
        <v>134</v>
      </c>
      <c r="F107" s="1" t="s">
        <v>128</v>
      </c>
      <c r="G107" s="1">
        <v>7.7</v>
      </c>
      <c r="H107" s="1">
        <v>41</v>
      </c>
      <c r="I107" s="1">
        <v>5</v>
      </c>
      <c r="J107" s="1">
        <v>90.6</v>
      </c>
      <c r="K107" s="1" t="s">
        <v>120</v>
      </c>
      <c r="L107" s="1" t="s">
        <v>121</v>
      </c>
      <c r="M107" s="1" t="s">
        <v>121</v>
      </c>
    </row>
    <row r="108" spans="1:13" ht="15" customHeight="1">
      <c r="A108" s="1" t="s">
        <v>239</v>
      </c>
      <c r="B108" s="4">
        <v>45833</v>
      </c>
      <c r="C108" s="1" t="s">
        <v>49</v>
      </c>
      <c r="D108" s="1" t="s">
        <v>132</v>
      </c>
      <c r="E108" s="1" t="s">
        <v>145</v>
      </c>
      <c r="F108" s="1" t="s">
        <v>128</v>
      </c>
      <c r="G108" s="1">
        <v>9.1</v>
      </c>
      <c r="H108" s="1">
        <v>45</v>
      </c>
      <c r="I108" s="1">
        <v>1</v>
      </c>
      <c r="J108" s="1">
        <v>78.599999999999994</v>
      </c>
      <c r="K108" s="1" t="s">
        <v>120</v>
      </c>
      <c r="L108" s="1" t="s">
        <v>121</v>
      </c>
      <c r="M108" s="1" t="s">
        <v>121</v>
      </c>
    </row>
    <row r="109" spans="1:13" ht="15" customHeight="1">
      <c r="A109" s="1" t="s">
        <v>240</v>
      </c>
      <c r="B109" s="4">
        <v>45764</v>
      </c>
      <c r="C109" s="1" t="s">
        <v>41</v>
      </c>
      <c r="D109" s="1" t="s">
        <v>132</v>
      </c>
      <c r="E109" s="1" t="s">
        <v>147</v>
      </c>
      <c r="F109" s="1" t="s">
        <v>126</v>
      </c>
      <c r="G109" s="1">
        <v>13.7</v>
      </c>
      <c r="H109" s="1">
        <v>36</v>
      </c>
      <c r="I109" s="1">
        <v>2</v>
      </c>
      <c r="J109" s="1">
        <v>88.5</v>
      </c>
      <c r="K109" s="1" t="s">
        <v>120</v>
      </c>
      <c r="L109" s="1" t="s">
        <v>121</v>
      </c>
      <c r="M109" s="1" t="s">
        <v>121</v>
      </c>
    </row>
    <row r="110" spans="1:13" ht="15" customHeight="1">
      <c r="A110" s="1" t="s">
        <v>241</v>
      </c>
      <c r="B110" s="4">
        <v>45876</v>
      </c>
      <c r="C110" s="1" t="s">
        <v>88</v>
      </c>
      <c r="D110" s="1" t="s">
        <v>125</v>
      </c>
      <c r="E110" s="1" t="s">
        <v>130</v>
      </c>
      <c r="F110" s="1" t="s">
        <v>126</v>
      </c>
      <c r="G110" s="1">
        <v>31.2</v>
      </c>
      <c r="H110" s="1">
        <v>39</v>
      </c>
      <c r="I110" s="1">
        <v>5</v>
      </c>
      <c r="J110" s="1">
        <v>81.099999999999994</v>
      </c>
      <c r="K110" s="1" t="s">
        <v>120</v>
      </c>
      <c r="L110" s="1" t="s">
        <v>121</v>
      </c>
      <c r="M110" s="1" t="s">
        <v>121</v>
      </c>
    </row>
    <row r="111" spans="1:13" ht="15" customHeight="1">
      <c r="A111" s="1" t="s">
        <v>242</v>
      </c>
      <c r="B111" s="4">
        <v>45792</v>
      </c>
      <c r="C111" s="1" t="s">
        <v>65</v>
      </c>
      <c r="D111" s="1" t="s">
        <v>125</v>
      </c>
      <c r="E111" s="1" t="s">
        <v>123</v>
      </c>
      <c r="F111" s="1" t="s">
        <v>119</v>
      </c>
      <c r="G111" s="1">
        <v>2.8</v>
      </c>
      <c r="H111" s="1">
        <v>32</v>
      </c>
      <c r="I111" s="1">
        <v>4</v>
      </c>
      <c r="J111" s="1">
        <v>77.099999999999994</v>
      </c>
      <c r="K111" s="1" t="s">
        <v>120</v>
      </c>
      <c r="L111" s="1" t="s">
        <v>121</v>
      </c>
      <c r="M111" s="1" t="s">
        <v>138</v>
      </c>
    </row>
    <row r="112" spans="1:13" ht="15" customHeight="1">
      <c r="A112" s="1" t="s">
        <v>243</v>
      </c>
      <c r="B112" s="4">
        <v>45870</v>
      </c>
      <c r="C112" s="1" t="s">
        <v>46</v>
      </c>
      <c r="D112" s="1" t="s">
        <v>125</v>
      </c>
      <c r="E112" s="1" t="s">
        <v>147</v>
      </c>
      <c r="F112" s="1" t="s">
        <v>126</v>
      </c>
      <c r="G112" s="1">
        <v>27.7</v>
      </c>
      <c r="H112" s="1">
        <v>20</v>
      </c>
      <c r="I112" s="1">
        <v>1</v>
      </c>
      <c r="J112" s="1">
        <v>72.099999999999994</v>
      </c>
      <c r="K112" s="1" t="s">
        <v>120</v>
      </c>
      <c r="L112" s="1" t="s">
        <v>121</v>
      </c>
      <c r="M112" s="1" t="s">
        <v>138</v>
      </c>
    </row>
    <row r="113" spans="1:13" ht="15" customHeight="1">
      <c r="A113" s="1" t="s">
        <v>244</v>
      </c>
      <c r="B113" s="4">
        <v>45823</v>
      </c>
      <c r="C113" s="1" t="s">
        <v>46</v>
      </c>
      <c r="D113" s="1" t="s">
        <v>117</v>
      </c>
      <c r="E113" s="1" t="s">
        <v>145</v>
      </c>
      <c r="F113" s="1" t="s">
        <v>128</v>
      </c>
      <c r="G113" s="1">
        <v>26.1</v>
      </c>
      <c r="H113" s="1">
        <v>60</v>
      </c>
      <c r="I113" s="1">
        <v>3</v>
      </c>
      <c r="J113" s="1">
        <v>70.5</v>
      </c>
      <c r="K113" s="1" t="s">
        <v>159</v>
      </c>
      <c r="L113" s="1" t="s">
        <v>121</v>
      </c>
      <c r="M113" s="1" t="s">
        <v>121</v>
      </c>
    </row>
    <row r="114" spans="1:13" ht="15" customHeight="1">
      <c r="A114" s="1" t="s">
        <v>245</v>
      </c>
      <c r="B114" s="4">
        <v>45775</v>
      </c>
      <c r="C114" s="1" t="s">
        <v>98</v>
      </c>
      <c r="D114" s="1" t="s">
        <v>132</v>
      </c>
      <c r="E114" s="1" t="s">
        <v>130</v>
      </c>
      <c r="F114" s="1" t="s">
        <v>128</v>
      </c>
      <c r="G114" s="1">
        <v>25.9</v>
      </c>
      <c r="H114" s="1">
        <v>31</v>
      </c>
      <c r="I114" s="1">
        <v>4</v>
      </c>
      <c r="J114" s="1">
        <v>95.7</v>
      </c>
      <c r="K114" s="1" t="s">
        <v>120</v>
      </c>
      <c r="L114" s="1" t="s">
        <v>121</v>
      </c>
      <c r="M114" s="1" t="s">
        <v>138</v>
      </c>
    </row>
    <row r="115" spans="1:13" ht="15" customHeight="1">
      <c r="A115" s="1" t="s">
        <v>246</v>
      </c>
      <c r="B115" s="4">
        <v>45681</v>
      </c>
      <c r="C115" s="1" t="s">
        <v>84</v>
      </c>
      <c r="D115" s="1" t="s">
        <v>125</v>
      </c>
      <c r="E115" s="1" t="s">
        <v>147</v>
      </c>
      <c r="F115" s="1" t="s">
        <v>128</v>
      </c>
      <c r="G115" s="1">
        <v>35.799999999999997</v>
      </c>
      <c r="H115" s="1">
        <v>24</v>
      </c>
      <c r="I115" s="1">
        <v>5</v>
      </c>
      <c r="J115" s="1">
        <v>65.900000000000006</v>
      </c>
      <c r="K115" s="1" t="s">
        <v>120</v>
      </c>
      <c r="L115" s="1" t="s">
        <v>121</v>
      </c>
      <c r="M115" s="1" t="s">
        <v>121</v>
      </c>
    </row>
    <row r="116" spans="1:13" ht="15" customHeight="1">
      <c r="A116" s="1" t="s">
        <v>247</v>
      </c>
      <c r="B116" s="4">
        <v>45971</v>
      </c>
      <c r="C116" s="1" t="s">
        <v>46</v>
      </c>
      <c r="D116" s="1" t="s">
        <v>132</v>
      </c>
      <c r="E116" s="1" t="s">
        <v>145</v>
      </c>
      <c r="F116" s="1" t="s">
        <v>119</v>
      </c>
      <c r="G116" s="1">
        <v>13</v>
      </c>
      <c r="H116" s="1">
        <v>39</v>
      </c>
      <c r="I116" s="1">
        <v>4</v>
      </c>
      <c r="J116" s="1">
        <v>92.5</v>
      </c>
      <c r="K116" s="1" t="s">
        <v>120</v>
      </c>
      <c r="L116" s="1" t="s">
        <v>121</v>
      </c>
      <c r="M116" s="1" t="s">
        <v>138</v>
      </c>
    </row>
    <row r="117" spans="1:13" ht="15" customHeight="1">
      <c r="A117" s="1" t="s">
        <v>248</v>
      </c>
      <c r="B117" s="4">
        <v>45801</v>
      </c>
      <c r="C117" s="1" t="s">
        <v>88</v>
      </c>
      <c r="D117" s="1" t="s">
        <v>117</v>
      </c>
      <c r="E117" s="1" t="s">
        <v>130</v>
      </c>
      <c r="F117" s="1" t="s">
        <v>119</v>
      </c>
      <c r="G117" s="1">
        <v>15.6</v>
      </c>
      <c r="H117" s="1">
        <v>1</v>
      </c>
      <c r="I117" s="1">
        <v>3</v>
      </c>
      <c r="J117" s="1">
        <v>93.8</v>
      </c>
      <c r="K117" s="1" t="s">
        <v>120</v>
      </c>
      <c r="L117" s="1" t="s">
        <v>121</v>
      </c>
      <c r="M117" s="1" t="s">
        <v>138</v>
      </c>
    </row>
    <row r="118" spans="1:13" ht="15" customHeight="1">
      <c r="A118" s="1" t="s">
        <v>249</v>
      </c>
      <c r="B118" s="4">
        <v>45661</v>
      </c>
      <c r="C118" s="1" t="s">
        <v>65</v>
      </c>
      <c r="D118" s="1" t="s">
        <v>125</v>
      </c>
      <c r="E118" s="1" t="s">
        <v>118</v>
      </c>
      <c r="F118" s="1" t="s">
        <v>128</v>
      </c>
      <c r="G118" s="1">
        <v>15.3</v>
      </c>
      <c r="H118" s="1">
        <v>64</v>
      </c>
      <c r="I118" s="1">
        <v>4</v>
      </c>
      <c r="J118" s="1">
        <v>85.9</v>
      </c>
      <c r="K118" s="1" t="s">
        <v>159</v>
      </c>
      <c r="L118" s="1" t="s">
        <v>121</v>
      </c>
      <c r="M118" s="1" t="s">
        <v>121</v>
      </c>
    </row>
    <row r="119" spans="1:13" ht="15" customHeight="1">
      <c r="A119" s="1" t="s">
        <v>250</v>
      </c>
      <c r="B119" s="4">
        <v>45666</v>
      </c>
      <c r="C119" s="1" t="s">
        <v>102</v>
      </c>
      <c r="D119" s="1" t="s">
        <v>125</v>
      </c>
      <c r="E119" s="1" t="s">
        <v>130</v>
      </c>
      <c r="F119" s="1" t="s">
        <v>126</v>
      </c>
      <c r="G119" s="1">
        <v>26.4</v>
      </c>
      <c r="H119" s="1">
        <v>66</v>
      </c>
      <c r="I119" s="1">
        <v>3</v>
      </c>
      <c r="J119" s="1">
        <v>99</v>
      </c>
      <c r="K119" s="1" t="s">
        <v>120</v>
      </c>
      <c r="L119" s="1" t="s">
        <v>121</v>
      </c>
      <c r="M119" s="1" t="s">
        <v>121</v>
      </c>
    </row>
    <row r="120" spans="1:13" ht="15" customHeight="1">
      <c r="A120" s="1" t="s">
        <v>251</v>
      </c>
      <c r="B120" s="4">
        <v>45908</v>
      </c>
      <c r="C120" s="1" t="s">
        <v>90</v>
      </c>
      <c r="D120" s="1" t="s">
        <v>132</v>
      </c>
      <c r="E120" s="1" t="s">
        <v>147</v>
      </c>
      <c r="F120" s="1" t="s">
        <v>126</v>
      </c>
      <c r="G120" s="1">
        <v>27.7</v>
      </c>
      <c r="H120" s="1">
        <v>62</v>
      </c>
      <c r="I120" s="1">
        <v>4</v>
      </c>
      <c r="J120" s="1">
        <v>78.7</v>
      </c>
      <c r="K120" s="1" t="s">
        <v>120</v>
      </c>
      <c r="L120" s="1" t="s">
        <v>121</v>
      </c>
      <c r="M120" s="1" t="s">
        <v>121</v>
      </c>
    </row>
    <row r="121" spans="1:13" ht="15" customHeight="1">
      <c r="A121" s="1" t="s">
        <v>252</v>
      </c>
      <c r="B121" s="4">
        <v>45953</v>
      </c>
      <c r="C121" s="1" t="s">
        <v>62</v>
      </c>
      <c r="D121" s="1" t="s">
        <v>132</v>
      </c>
      <c r="E121" s="1" t="s">
        <v>145</v>
      </c>
      <c r="F121" s="1" t="s">
        <v>128</v>
      </c>
      <c r="G121" s="1">
        <v>35.5</v>
      </c>
      <c r="H121" s="1">
        <v>1</v>
      </c>
      <c r="I121" s="1">
        <v>4</v>
      </c>
      <c r="J121" s="1">
        <v>87.7</v>
      </c>
      <c r="K121" s="1" t="s">
        <v>120</v>
      </c>
      <c r="L121" s="1" t="s">
        <v>121</v>
      </c>
      <c r="M121" s="1" t="s">
        <v>121</v>
      </c>
    </row>
    <row r="122" spans="1:13" ht="15" customHeight="1">
      <c r="A122" s="1" t="s">
        <v>253</v>
      </c>
      <c r="B122" s="4">
        <v>45897</v>
      </c>
      <c r="C122" s="1" t="s">
        <v>102</v>
      </c>
      <c r="D122" s="1" t="s">
        <v>117</v>
      </c>
      <c r="E122" s="1" t="s">
        <v>145</v>
      </c>
      <c r="F122" s="1" t="s">
        <v>128</v>
      </c>
      <c r="G122" s="1">
        <v>14</v>
      </c>
      <c r="H122" s="1">
        <v>41</v>
      </c>
      <c r="I122" s="1">
        <v>4</v>
      </c>
      <c r="J122" s="1">
        <v>81.099999999999994</v>
      </c>
      <c r="K122" s="1" t="s">
        <v>120</v>
      </c>
      <c r="L122" s="1" t="s">
        <v>121</v>
      </c>
      <c r="M122" s="1" t="s">
        <v>121</v>
      </c>
    </row>
    <row r="123" spans="1:13" ht="15" customHeight="1">
      <c r="A123" s="1" t="s">
        <v>254</v>
      </c>
      <c r="B123" s="4">
        <v>45991</v>
      </c>
      <c r="C123" s="1" t="s">
        <v>46</v>
      </c>
      <c r="D123" s="1" t="s">
        <v>125</v>
      </c>
      <c r="E123" s="1" t="s">
        <v>123</v>
      </c>
      <c r="F123" s="1" t="s">
        <v>128</v>
      </c>
      <c r="G123" s="1">
        <v>23.1</v>
      </c>
      <c r="H123" s="1">
        <v>32</v>
      </c>
      <c r="I123" s="1">
        <v>3</v>
      </c>
      <c r="J123" s="1">
        <v>91.7</v>
      </c>
      <c r="K123" s="1" t="s">
        <v>159</v>
      </c>
      <c r="L123" s="1" t="s">
        <v>121</v>
      </c>
      <c r="M123" s="1" t="s">
        <v>121</v>
      </c>
    </row>
    <row r="124" spans="1:13" ht="15" customHeight="1">
      <c r="A124" s="1" t="s">
        <v>255</v>
      </c>
      <c r="B124" s="4">
        <v>45703</v>
      </c>
      <c r="C124" s="1" t="s">
        <v>78</v>
      </c>
      <c r="D124" s="1" t="s">
        <v>125</v>
      </c>
      <c r="E124" s="1" t="s">
        <v>123</v>
      </c>
      <c r="F124" s="1" t="s">
        <v>128</v>
      </c>
      <c r="G124" s="1">
        <v>11.7</v>
      </c>
      <c r="H124" s="1">
        <v>91</v>
      </c>
      <c r="I124" s="1">
        <v>1</v>
      </c>
      <c r="J124" s="1">
        <v>92.4</v>
      </c>
      <c r="K124" s="1" t="s">
        <v>120</v>
      </c>
      <c r="L124" s="1" t="s">
        <v>121</v>
      </c>
      <c r="M124" s="1" t="s">
        <v>121</v>
      </c>
    </row>
    <row r="125" spans="1:13" ht="15" customHeight="1">
      <c r="A125" s="1" t="s">
        <v>256</v>
      </c>
      <c r="B125" s="4">
        <v>45847</v>
      </c>
      <c r="C125" s="1" t="s">
        <v>77</v>
      </c>
      <c r="D125" s="1" t="s">
        <v>125</v>
      </c>
      <c r="E125" s="1" t="s">
        <v>145</v>
      </c>
      <c r="F125" s="1" t="s">
        <v>126</v>
      </c>
      <c r="G125" s="1">
        <v>50.6</v>
      </c>
      <c r="H125" s="1">
        <v>67</v>
      </c>
      <c r="I125" s="1">
        <v>4</v>
      </c>
      <c r="J125" s="1">
        <v>94.2</v>
      </c>
      <c r="K125" s="1" t="s">
        <v>120</v>
      </c>
      <c r="L125" s="1" t="s">
        <v>121</v>
      </c>
      <c r="M125" s="1" t="s">
        <v>138</v>
      </c>
    </row>
    <row r="126" spans="1:13" ht="15" customHeight="1">
      <c r="A126" s="1" t="s">
        <v>257</v>
      </c>
      <c r="B126" s="4">
        <v>45886</v>
      </c>
      <c r="C126" s="1" t="s">
        <v>65</v>
      </c>
      <c r="D126" s="1" t="s">
        <v>132</v>
      </c>
      <c r="E126" s="1" t="s">
        <v>130</v>
      </c>
      <c r="F126" s="1" t="s">
        <v>126</v>
      </c>
      <c r="G126" s="1">
        <v>6</v>
      </c>
      <c r="H126" s="1">
        <v>15</v>
      </c>
      <c r="I126" s="1">
        <v>4</v>
      </c>
      <c r="J126" s="1">
        <v>80.099999999999994</v>
      </c>
      <c r="K126" s="1" t="s">
        <v>120</v>
      </c>
      <c r="L126" s="1" t="s">
        <v>121</v>
      </c>
      <c r="M126" s="1" t="s">
        <v>121</v>
      </c>
    </row>
    <row r="127" spans="1:13" ht="15" customHeight="1">
      <c r="A127" s="1" t="s">
        <v>258</v>
      </c>
      <c r="B127" s="4">
        <v>45876</v>
      </c>
      <c r="C127" s="1" t="s">
        <v>51</v>
      </c>
      <c r="D127" s="1" t="s">
        <v>132</v>
      </c>
      <c r="E127" s="1" t="s">
        <v>145</v>
      </c>
      <c r="F127" s="1" t="s">
        <v>128</v>
      </c>
      <c r="G127" s="1">
        <v>21.3</v>
      </c>
      <c r="H127" s="1">
        <v>31</v>
      </c>
      <c r="I127" s="1">
        <v>4</v>
      </c>
      <c r="J127" s="1">
        <v>91.4</v>
      </c>
      <c r="K127" s="1" t="s">
        <v>120</v>
      </c>
      <c r="L127" s="1" t="s">
        <v>121</v>
      </c>
      <c r="M127" s="1" t="s">
        <v>121</v>
      </c>
    </row>
    <row r="128" spans="1:13" ht="15" customHeight="1">
      <c r="A128" s="1" t="s">
        <v>259</v>
      </c>
      <c r="B128" s="4">
        <v>45788</v>
      </c>
      <c r="C128" s="1" t="s">
        <v>98</v>
      </c>
      <c r="D128" s="1" t="s">
        <v>125</v>
      </c>
      <c r="E128" s="1" t="s">
        <v>123</v>
      </c>
      <c r="F128" s="1" t="s">
        <v>128</v>
      </c>
      <c r="G128" s="1">
        <v>22.6</v>
      </c>
      <c r="H128" s="1">
        <v>16</v>
      </c>
      <c r="I128" s="1">
        <v>5</v>
      </c>
      <c r="J128" s="1">
        <v>89.7</v>
      </c>
      <c r="K128" s="1" t="s">
        <v>120</v>
      </c>
      <c r="L128" s="1" t="s">
        <v>121</v>
      </c>
      <c r="M128" s="1" t="s">
        <v>121</v>
      </c>
    </row>
    <row r="129" spans="1:13" ht="15" customHeight="1">
      <c r="A129" s="1" t="s">
        <v>260</v>
      </c>
      <c r="B129" s="4">
        <v>45985</v>
      </c>
      <c r="C129" s="1" t="s">
        <v>100</v>
      </c>
      <c r="D129" s="1" t="s">
        <v>132</v>
      </c>
      <c r="E129" s="1" t="s">
        <v>147</v>
      </c>
      <c r="F129" s="1" t="s">
        <v>119</v>
      </c>
      <c r="G129" s="1">
        <v>18.7</v>
      </c>
      <c r="H129" s="1">
        <v>29</v>
      </c>
      <c r="I129" s="1">
        <v>3</v>
      </c>
      <c r="J129" s="1">
        <v>83</v>
      </c>
      <c r="K129" s="1" t="s">
        <v>120</v>
      </c>
      <c r="L129" s="1" t="s">
        <v>121</v>
      </c>
      <c r="M129" s="1" t="s">
        <v>121</v>
      </c>
    </row>
    <row r="130" spans="1:13" ht="15" customHeight="1">
      <c r="A130" s="1" t="s">
        <v>261</v>
      </c>
      <c r="B130" s="4">
        <v>45854</v>
      </c>
      <c r="C130" s="1" t="s">
        <v>49</v>
      </c>
      <c r="D130" s="1" t="s">
        <v>125</v>
      </c>
      <c r="E130" s="1" t="s">
        <v>147</v>
      </c>
      <c r="F130" s="1" t="s">
        <v>128</v>
      </c>
      <c r="G130" s="1">
        <v>19.8</v>
      </c>
      <c r="H130" s="1">
        <v>11</v>
      </c>
      <c r="I130" s="1">
        <v>2</v>
      </c>
      <c r="J130" s="1">
        <v>91.2</v>
      </c>
      <c r="K130" s="1" t="s">
        <v>120</v>
      </c>
      <c r="L130" s="1" t="s">
        <v>121</v>
      </c>
      <c r="M130" s="1" t="s">
        <v>121</v>
      </c>
    </row>
    <row r="131" spans="1:13" ht="15" customHeight="1">
      <c r="A131" s="1" t="s">
        <v>262</v>
      </c>
      <c r="B131" s="4">
        <v>45671</v>
      </c>
      <c r="C131" s="1" t="s">
        <v>67</v>
      </c>
      <c r="D131" s="1" t="s">
        <v>132</v>
      </c>
      <c r="E131" s="1" t="s">
        <v>145</v>
      </c>
      <c r="F131" s="1" t="s">
        <v>126</v>
      </c>
      <c r="G131" s="1">
        <v>20.399999999999999</v>
      </c>
      <c r="H131" s="1">
        <v>37</v>
      </c>
      <c r="I131" s="1">
        <v>4</v>
      </c>
      <c r="J131" s="1">
        <v>93.1</v>
      </c>
      <c r="K131" s="1" t="s">
        <v>120</v>
      </c>
      <c r="L131" s="1" t="s">
        <v>121</v>
      </c>
      <c r="M131" s="1" t="s">
        <v>121</v>
      </c>
    </row>
    <row r="132" spans="1:13" ht="15" customHeight="1">
      <c r="A132" s="1" t="s">
        <v>263</v>
      </c>
      <c r="B132" s="4">
        <v>45874</v>
      </c>
      <c r="C132" s="1" t="s">
        <v>88</v>
      </c>
      <c r="D132" s="1" t="s">
        <v>117</v>
      </c>
      <c r="E132" s="1" t="s">
        <v>130</v>
      </c>
      <c r="F132" s="1" t="s">
        <v>128</v>
      </c>
      <c r="G132" s="1">
        <v>33.4</v>
      </c>
      <c r="H132" s="1">
        <v>5</v>
      </c>
      <c r="I132" s="1">
        <v>2</v>
      </c>
      <c r="J132" s="1">
        <v>94</v>
      </c>
      <c r="K132" s="1" t="s">
        <v>120</v>
      </c>
      <c r="L132" s="1" t="s">
        <v>121</v>
      </c>
      <c r="M132" s="1" t="s">
        <v>121</v>
      </c>
    </row>
    <row r="133" spans="1:13" ht="15" customHeight="1">
      <c r="A133" s="1" t="s">
        <v>264</v>
      </c>
      <c r="B133" s="4">
        <v>45956</v>
      </c>
      <c r="C133" s="1" t="s">
        <v>46</v>
      </c>
      <c r="D133" s="1" t="s">
        <v>132</v>
      </c>
      <c r="E133" s="1" t="s">
        <v>147</v>
      </c>
      <c r="F133" s="1" t="s">
        <v>128</v>
      </c>
      <c r="G133" s="1">
        <v>21.2</v>
      </c>
      <c r="H133" s="1">
        <v>33</v>
      </c>
      <c r="I133" s="1">
        <v>4</v>
      </c>
      <c r="J133" s="1">
        <v>89</v>
      </c>
      <c r="K133" s="1" t="s">
        <v>120</v>
      </c>
      <c r="L133" s="1" t="s">
        <v>121</v>
      </c>
      <c r="M133" s="1" t="s">
        <v>121</v>
      </c>
    </row>
    <row r="134" spans="1:13" ht="15" customHeight="1">
      <c r="A134" s="1" t="s">
        <v>265</v>
      </c>
      <c r="B134" s="4">
        <v>45852</v>
      </c>
      <c r="C134" s="1" t="s">
        <v>80</v>
      </c>
      <c r="D134" s="1" t="s">
        <v>132</v>
      </c>
      <c r="E134" s="1" t="s">
        <v>123</v>
      </c>
      <c r="F134" s="1" t="s">
        <v>135</v>
      </c>
      <c r="G134" s="1">
        <v>4.5999999999999996</v>
      </c>
      <c r="H134" s="1">
        <v>13</v>
      </c>
      <c r="I134" s="1">
        <v>3</v>
      </c>
      <c r="J134" s="1">
        <v>95.3</v>
      </c>
      <c r="K134" s="1" t="s">
        <v>120</v>
      </c>
      <c r="L134" s="1" t="s">
        <v>121</v>
      </c>
      <c r="M134" s="1" t="s">
        <v>121</v>
      </c>
    </row>
    <row r="135" spans="1:13" ht="15" customHeight="1">
      <c r="A135" s="1" t="s">
        <v>266</v>
      </c>
      <c r="B135" s="4">
        <v>45866</v>
      </c>
      <c r="C135" s="1" t="s">
        <v>78</v>
      </c>
      <c r="D135" s="1" t="s">
        <v>117</v>
      </c>
      <c r="E135" s="1" t="s">
        <v>118</v>
      </c>
      <c r="F135" s="1" t="s">
        <v>128</v>
      </c>
      <c r="G135" s="1">
        <v>16.8</v>
      </c>
      <c r="H135" s="1">
        <v>36</v>
      </c>
      <c r="I135" s="1">
        <v>5</v>
      </c>
      <c r="J135" s="1">
        <v>95.4</v>
      </c>
      <c r="K135" s="1" t="s">
        <v>120</v>
      </c>
      <c r="L135" s="1" t="s">
        <v>121</v>
      </c>
      <c r="M135" s="1" t="s">
        <v>121</v>
      </c>
    </row>
    <row r="136" spans="1:13" ht="15" customHeight="1">
      <c r="A136" s="1" t="s">
        <v>267</v>
      </c>
      <c r="B136" s="4">
        <v>45851</v>
      </c>
      <c r="C136" s="1" t="s">
        <v>75</v>
      </c>
      <c r="D136" s="1" t="s">
        <v>125</v>
      </c>
      <c r="E136" s="1" t="s">
        <v>123</v>
      </c>
      <c r="F136" s="1" t="s">
        <v>119</v>
      </c>
      <c r="G136" s="1">
        <v>6</v>
      </c>
      <c r="H136" s="1">
        <v>28</v>
      </c>
      <c r="I136" s="1">
        <v>3</v>
      </c>
      <c r="J136" s="1">
        <v>94.9</v>
      </c>
      <c r="K136" s="1" t="s">
        <v>120</v>
      </c>
      <c r="L136" s="1" t="s">
        <v>121</v>
      </c>
      <c r="M136" s="1" t="s">
        <v>121</v>
      </c>
    </row>
    <row r="137" spans="1:13" ht="15" customHeight="1">
      <c r="A137" s="1" t="s">
        <v>268</v>
      </c>
      <c r="B137" s="4">
        <v>45944</v>
      </c>
      <c r="C137" s="1" t="s">
        <v>46</v>
      </c>
      <c r="D137" s="1" t="s">
        <v>117</v>
      </c>
      <c r="E137" s="1" t="s">
        <v>147</v>
      </c>
      <c r="F137" s="1" t="s">
        <v>119</v>
      </c>
      <c r="G137" s="1">
        <v>10.199999999999999</v>
      </c>
      <c r="H137" s="1">
        <v>23</v>
      </c>
      <c r="I137" s="1">
        <v>3</v>
      </c>
      <c r="J137" s="1">
        <v>79.3</v>
      </c>
      <c r="K137" s="1" t="s">
        <v>120</v>
      </c>
      <c r="L137" s="1" t="s">
        <v>121</v>
      </c>
      <c r="M137" s="1" t="s">
        <v>121</v>
      </c>
    </row>
    <row r="138" spans="1:13" ht="15" customHeight="1">
      <c r="A138" s="1" t="s">
        <v>269</v>
      </c>
      <c r="B138" s="4">
        <v>45661</v>
      </c>
      <c r="C138" s="1" t="s">
        <v>49</v>
      </c>
      <c r="D138" s="1" t="s">
        <v>117</v>
      </c>
      <c r="E138" s="1" t="s">
        <v>134</v>
      </c>
      <c r="F138" s="1" t="s">
        <v>126</v>
      </c>
      <c r="G138" s="1">
        <v>74.2</v>
      </c>
      <c r="H138" s="1">
        <v>32</v>
      </c>
      <c r="I138" s="1">
        <v>5</v>
      </c>
      <c r="J138" s="1">
        <v>80.3</v>
      </c>
      <c r="K138" s="1" t="s">
        <v>120</v>
      </c>
      <c r="L138" s="1" t="s">
        <v>121</v>
      </c>
      <c r="M138" s="1" t="s">
        <v>121</v>
      </c>
    </row>
    <row r="139" spans="1:13" ht="15" customHeight="1">
      <c r="A139" s="1" t="s">
        <v>270</v>
      </c>
      <c r="B139" s="4">
        <v>46021</v>
      </c>
      <c r="C139" s="1" t="s">
        <v>80</v>
      </c>
      <c r="D139" s="1" t="s">
        <v>117</v>
      </c>
      <c r="E139" s="1" t="s">
        <v>123</v>
      </c>
      <c r="F139" s="1" t="s">
        <v>126</v>
      </c>
      <c r="G139" s="1">
        <v>8.1999999999999993</v>
      </c>
      <c r="H139" s="1">
        <v>23</v>
      </c>
      <c r="I139" s="1">
        <v>5</v>
      </c>
      <c r="J139" s="1">
        <v>67.5</v>
      </c>
      <c r="K139" s="1" t="s">
        <v>120</v>
      </c>
      <c r="L139" s="1" t="s">
        <v>121</v>
      </c>
      <c r="M139" s="1" t="s">
        <v>121</v>
      </c>
    </row>
    <row r="140" spans="1:13" ht="15" customHeight="1">
      <c r="A140" s="1" t="s">
        <v>271</v>
      </c>
      <c r="B140" s="4">
        <v>45743</v>
      </c>
      <c r="C140" s="1" t="s">
        <v>80</v>
      </c>
      <c r="D140" s="1" t="s">
        <v>117</v>
      </c>
      <c r="E140" s="1" t="s">
        <v>147</v>
      </c>
      <c r="F140" s="1" t="s">
        <v>126</v>
      </c>
      <c r="G140" s="1">
        <v>49.9</v>
      </c>
      <c r="H140" s="1">
        <v>48</v>
      </c>
      <c r="I140" s="1">
        <v>5</v>
      </c>
      <c r="J140" s="1">
        <v>92.7</v>
      </c>
      <c r="K140" s="1" t="s">
        <v>120</v>
      </c>
      <c r="L140" s="1" t="s">
        <v>121</v>
      </c>
      <c r="M140" s="1" t="s">
        <v>121</v>
      </c>
    </row>
    <row r="141" spans="1:13" ht="15" customHeight="1">
      <c r="A141" s="1" t="s">
        <v>272</v>
      </c>
      <c r="B141" s="4">
        <v>45987</v>
      </c>
      <c r="C141" s="1" t="s">
        <v>75</v>
      </c>
      <c r="D141" s="1" t="s">
        <v>132</v>
      </c>
      <c r="E141" s="1" t="s">
        <v>118</v>
      </c>
      <c r="F141" s="1" t="s">
        <v>128</v>
      </c>
      <c r="G141" s="1">
        <v>22.7</v>
      </c>
      <c r="H141" s="1">
        <v>9</v>
      </c>
      <c r="I141" s="1">
        <v>3</v>
      </c>
      <c r="J141" s="1">
        <v>86.5</v>
      </c>
      <c r="K141" s="1" t="s">
        <v>120</v>
      </c>
      <c r="L141" s="1" t="s">
        <v>121</v>
      </c>
      <c r="M141" s="1" t="s">
        <v>121</v>
      </c>
    </row>
    <row r="142" spans="1:13" ht="15" customHeight="1">
      <c r="A142" s="1" t="s">
        <v>273</v>
      </c>
      <c r="B142" s="4">
        <v>45856</v>
      </c>
      <c r="C142" s="1" t="s">
        <v>60</v>
      </c>
      <c r="D142" s="1" t="s">
        <v>117</v>
      </c>
      <c r="E142" s="1" t="s">
        <v>134</v>
      </c>
      <c r="F142" s="1" t="s">
        <v>126</v>
      </c>
      <c r="G142" s="1">
        <v>35.6</v>
      </c>
      <c r="H142" s="1">
        <v>5</v>
      </c>
      <c r="I142" s="1">
        <v>4</v>
      </c>
      <c r="J142" s="1">
        <v>85.7</v>
      </c>
      <c r="K142" s="1" t="s">
        <v>120</v>
      </c>
      <c r="L142" s="1" t="s">
        <v>121</v>
      </c>
      <c r="M142" s="1" t="s">
        <v>121</v>
      </c>
    </row>
    <row r="143" spans="1:13" ht="15" customHeight="1">
      <c r="A143" s="1" t="s">
        <v>274</v>
      </c>
      <c r="B143" s="4">
        <v>45679</v>
      </c>
      <c r="C143" s="1" t="s">
        <v>46</v>
      </c>
      <c r="D143" s="1" t="s">
        <v>117</v>
      </c>
      <c r="E143" s="1" t="s">
        <v>134</v>
      </c>
      <c r="F143" s="1" t="s">
        <v>128</v>
      </c>
      <c r="G143" s="1">
        <v>8.1</v>
      </c>
      <c r="H143" s="1">
        <v>18</v>
      </c>
      <c r="I143" s="1">
        <v>4</v>
      </c>
      <c r="J143" s="1">
        <v>94.4</v>
      </c>
      <c r="K143" s="1" t="s">
        <v>120</v>
      </c>
      <c r="L143" s="1" t="s">
        <v>121</v>
      </c>
      <c r="M143" s="1" t="s">
        <v>121</v>
      </c>
    </row>
    <row r="144" spans="1:13" ht="15" customHeight="1">
      <c r="A144" s="1" t="s">
        <v>275</v>
      </c>
      <c r="B144" s="4">
        <v>46007</v>
      </c>
      <c r="C144" s="1" t="s">
        <v>41</v>
      </c>
      <c r="D144" s="1" t="s">
        <v>125</v>
      </c>
      <c r="E144" s="1" t="s">
        <v>123</v>
      </c>
      <c r="F144" s="1" t="s">
        <v>128</v>
      </c>
      <c r="G144" s="1">
        <v>11.8</v>
      </c>
      <c r="H144" s="1">
        <v>22</v>
      </c>
      <c r="I144" s="1">
        <v>4</v>
      </c>
      <c r="J144" s="1">
        <v>95.3</v>
      </c>
      <c r="K144" s="1" t="s">
        <v>120</v>
      </c>
      <c r="L144" s="1" t="s">
        <v>138</v>
      </c>
      <c r="M144" s="1" t="s">
        <v>121</v>
      </c>
    </row>
    <row r="145" spans="1:13" ht="15" customHeight="1">
      <c r="A145" s="1" t="s">
        <v>276</v>
      </c>
      <c r="B145" s="4">
        <v>45703</v>
      </c>
      <c r="C145" s="1" t="s">
        <v>75</v>
      </c>
      <c r="D145" s="1" t="s">
        <v>117</v>
      </c>
      <c r="E145" s="1" t="s">
        <v>134</v>
      </c>
      <c r="F145" s="1" t="s">
        <v>128</v>
      </c>
      <c r="G145" s="1">
        <v>3.4</v>
      </c>
      <c r="H145" s="1">
        <v>28</v>
      </c>
      <c r="I145" s="1">
        <v>4</v>
      </c>
      <c r="J145" s="1">
        <v>85.8</v>
      </c>
      <c r="K145" s="1" t="s">
        <v>120</v>
      </c>
      <c r="L145" s="1" t="s">
        <v>121</v>
      </c>
      <c r="M145" s="1" t="s">
        <v>121</v>
      </c>
    </row>
    <row r="146" spans="1:13" ht="15" customHeight="1">
      <c r="A146" s="1" t="s">
        <v>277</v>
      </c>
      <c r="B146" s="4">
        <v>45989</v>
      </c>
      <c r="C146" s="1" t="s">
        <v>84</v>
      </c>
      <c r="D146" s="1" t="s">
        <v>132</v>
      </c>
      <c r="E146" s="1" t="s">
        <v>123</v>
      </c>
      <c r="F146" s="1" t="s">
        <v>128</v>
      </c>
      <c r="G146" s="1">
        <v>30.3</v>
      </c>
      <c r="H146" s="1">
        <v>47</v>
      </c>
      <c r="I146" s="1">
        <v>5</v>
      </c>
      <c r="J146" s="1">
        <v>81.3</v>
      </c>
      <c r="K146" s="1" t="s">
        <v>120</v>
      </c>
      <c r="L146" s="1" t="s">
        <v>121</v>
      </c>
      <c r="M146" s="1" t="s">
        <v>121</v>
      </c>
    </row>
    <row r="147" spans="1:13" ht="15" customHeight="1">
      <c r="A147" s="1" t="s">
        <v>278</v>
      </c>
      <c r="B147" s="4">
        <v>45760</v>
      </c>
      <c r="C147" s="1" t="s">
        <v>86</v>
      </c>
      <c r="D147" s="1" t="s">
        <v>125</v>
      </c>
      <c r="E147" s="1" t="s">
        <v>145</v>
      </c>
      <c r="F147" s="1" t="s">
        <v>126</v>
      </c>
      <c r="G147" s="1">
        <v>29.4</v>
      </c>
      <c r="H147" s="1">
        <v>19</v>
      </c>
      <c r="I147" s="1">
        <v>5</v>
      </c>
      <c r="J147" s="1">
        <v>96</v>
      </c>
      <c r="K147" s="1" t="s">
        <v>120</v>
      </c>
      <c r="L147" s="1" t="s">
        <v>121</v>
      </c>
      <c r="M147" s="1" t="s">
        <v>121</v>
      </c>
    </row>
    <row r="148" spans="1:13" ht="15" customHeight="1">
      <c r="A148" s="1" t="s">
        <v>279</v>
      </c>
      <c r="B148" s="4">
        <v>45848</v>
      </c>
      <c r="C148" s="1" t="s">
        <v>49</v>
      </c>
      <c r="D148" s="1" t="s">
        <v>117</v>
      </c>
      <c r="E148" s="1" t="s">
        <v>123</v>
      </c>
      <c r="F148" s="1" t="s">
        <v>119</v>
      </c>
      <c r="G148" s="1">
        <v>4.4000000000000004</v>
      </c>
      <c r="H148" s="1">
        <v>23</v>
      </c>
      <c r="I148" s="1">
        <v>1</v>
      </c>
      <c r="J148" s="1">
        <v>93.1</v>
      </c>
      <c r="K148" s="1" t="s">
        <v>159</v>
      </c>
      <c r="L148" s="1" t="s">
        <v>121</v>
      </c>
      <c r="M148" s="1" t="s">
        <v>138</v>
      </c>
    </row>
    <row r="149" spans="1:13" ht="15" customHeight="1">
      <c r="A149" s="1" t="s">
        <v>280</v>
      </c>
      <c r="B149" s="4">
        <v>45748</v>
      </c>
      <c r="C149" s="1" t="s">
        <v>69</v>
      </c>
      <c r="D149" s="1" t="s">
        <v>117</v>
      </c>
      <c r="E149" s="1" t="s">
        <v>145</v>
      </c>
      <c r="F149" s="1" t="s">
        <v>126</v>
      </c>
      <c r="G149" s="1">
        <v>48.9</v>
      </c>
      <c r="H149" s="1">
        <v>23</v>
      </c>
      <c r="I149" s="1">
        <v>5</v>
      </c>
      <c r="J149" s="1">
        <v>89.2</v>
      </c>
      <c r="K149" s="1" t="s">
        <v>120</v>
      </c>
      <c r="L149" s="1" t="s">
        <v>121</v>
      </c>
      <c r="M149" s="1" t="s">
        <v>121</v>
      </c>
    </row>
    <row r="150" spans="1:13" ht="15" customHeight="1">
      <c r="A150" s="1" t="s">
        <v>281</v>
      </c>
      <c r="B150" s="4">
        <v>45684</v>
      </c>
      <c r="C150" s="1" t="s">
        <v>86</v>
      </c>
      <c r="D150" s="1" t="s">
        <v>125</v>
      </c>
      <c r="E150" s="1" t="s">
        <v>130</v>
      </c>
      <c r="F150" s="1" t="s">
        <v>119</v>
      </c>
      <c r="G150" s="1">
        <v>11.3</v>
      </c>
      <c r="H150" s="1">
        <v>23</v>
      </c>
      <c r="I150" s="1">
        <v>4</v>
      </c>
      <c r="J150" s="1">
        <v>78.8</v>
      </c>
      <c r="K150" s="1" t="s">
        <v>120</v>
      </c>
      <c r="L150" s="1" t="s">
        <v>121</v>
      </c>
      <c r="M150" s="1" t="s">
        <v>121</v>
      </c>
    </row>
    <row r="151" spans="1:13" ht="15" customHeight="1">
      <c r="A151" s="1" t="s">
        <v>282</v>
      </c>
      <c r="B151" s="4">
        <v>45853</v>
      </c>
      <c r="C151" s="1" t="s">
        <v>54</v>
      </c>
      <c r="D151" s="1" t="s">
        <v>132</v>
      </c>
      <c r="E151" s="1" t="s">
        <v>147</v>
      </c>
      <c r="F151" s="1" t="s">
        <v>128</v>
      </c>
      <c r="G151" s="1">
        <v>1.8</v>
      </c>
      <c r="H151" s="1">
        <v>49</v>
      </c>
      <c r="I151" s="1">
        <v>3</v>
      </c>
      <c r="J151" s="1">
        <v>86.9</v>
      </c>
      <c r="K151" s="1" t="s">
        <v>120</v>
      </c>
      <c r="L151" s="1" t="s">
        <v>121</v>
      </c>
      <c r="M151" s="1" t="s">
        <v>121</v>
      </c>
    </row>
    <row r="152" spans="1:13" ht="15" customHeight="1">
      <c r="A152" s="1" t="s">
        <v>283</v>
      </c>
      <c r="B152" s="4">
        <v>45959</v>
      </c>
      <c r="C152" s="1" t="s">
        <v>98</v>
      </c>
      <c r="D152" s="1" t="s">
        <v>117</v>
      </c>
      <c r="E152" s="1" t="s">
        <v>145</v>
      </c>
      <c r="F152" s="1" t="s">
        <v>126</v>
      </c>
      <c r="G152" s="1">
        <v>47.7</v>
      </c>
      <c r="H152" s="1">
        <v>42</v>
      </c>
      <c r="I152" s="1">
        <v>5</v>
      </c>
      <c r="J152" s="1">
        <v>96.3</v>
      </c>
      <c r="K152" s="1" t="s">
        <v>120</v>
      </c>
      <c r="L152" s="1" t="s">
        <v>121</v>
      </c>
      <c r="M152" s="1" t="s">
        <v>121</v>
      </c>
    </row>
    <row r="153" spans="1:13" ht="15" customHeight="1">
      <c r="A153" s="1" t="s">
        <v>284</v>
      </c>
      <c r="B153" s="4">
        <v>45994</v>
      </c>
      <c r="C153" s="1" t="s">
        <v>100</v>
      </c>
      <c r="D153" s="1" t="s">
        <v>117</v>
      </c>
      <c r="E153" s="1" t="s">
        <v>134</v>
      </c>
      <c r="F153" s="1" t="s">
        <v>128</v>
      </c>
      <c r="G153" s="1">
        <v>35.1</v>
      </c>
      <c r="H153" s="1">
        <v>22</v>
      </c>
      <c r="I153" s="1">
        <v>5</v>
      </c>
      <c r="J153" s="1">
        <v>87.5</v>
      </c>
      <c r="K153" s="1" t="s">
        <v>120</v>
      </c>
      <c r="L153" s="1" t="s">
        <v>121</v>
      </c>
      <c r="M153" s="1" t="s">
        <v>121</v>
      </c>
    </row>
    <row r="154" spans="1:13" ht="15" customHeight="1">
      <c r="A154" s="1" t="s">
        <v>285</v>
      </c>
      <c r="B154" s="4">
        <v>45790</v>
      </c>
      <c r="C154" s="1" t="s">
        <v>100</v>
      </c>
      <c r="D154" s="1" t="s">
        <v>117</v>
      </c>
      <c r="E154" s="1" t="s">
        <v>134</v>
      </c>
      <c r="F154" s="1" t="s">
        <v>128</v>
      </c>
      <c r="G154" s="1">
        <v>40.4</v>
      </c>
      <c r="H154" s="1">
        <v>50</v>
      </c>
      <c r="I154" s="1">
        <v>4</v>
      </c>
      <c r="J154" s="1">
        <v>71.099999999999994</v>
      </c>
      <c r="K154" s="1" t="s">
        <v>120</v>
      </c>
      <c r="L154" s="1" t="s">
        <v>121</v>
      </c>
      <c r="M154" s="1" t="s">
        <v>121</v>
      </c>
    </row>
    <row r="155" spans="1:13" ht="15" customHeight="1">
      <c r="A155" s="1" t="s">
        <v>286</v>
      </c>
      <c r="B155" s="4">
        <v>45664</v>
      </c>
      <c r="C155" s="1" t="s">
        <v>78</v>
      </c>
      <c r="D155" s="1" t="s">
        <v>125</v>
      </c>
      <c r="E155" s="1" t="s">
        <v>118</v>
      </c>
      <c r="F155" s="1" t="s">
        <v>119</v>
      </c>
      <c r="G155" s="1">
        <v>0.5</v>
      </c>
      <c r="H155" s="1">
        <v>1</v>
      </c>
      <c r="I155" s="1">
        <v>5</v>
      </c>
      <c r="J155" s="1">
        <v>90.2</v>
      </c>
      <c r="K155" s="1" t="s">
        <v>120</v>
      </c>
      <c r="L155" s="1" t="s">
        <v>121</v>
      </c>
      <c r="M155" s="1" t="s">
        <v>138</v>
      </c>
    </row>
    <row r="156" spans="1:13" ht="15" customHeight="1">
      <c r="A156" s="1" t="s">
        <v>287</v>
      </c>
      <c r="B156" s="4">
        <v>45749</v>
      </c>
      <c r="C156" s="1" t="s">
        <v>98</v>
      </c>
      <c r="D156" s="1" t="s">
        <v>132</v>
      </c>
      <c r="E156" s="1" t="s">
        <v>118</v>
      </c>
      <c r="F156" s="1" t="s">
        <v>119</v>
      </c>
      <c r="G156" s="1">
        <v>11.2</v>
      </c>
      <c r="H156" s="1">
        <v>1</v>
      </c>
      <c r="I156" s="1">
        <v>3</v>
      </c>
      <c r="J156" s="1">
        <v>96.7</v>
      </c>
      <c r="K156" s="1" t="s">
        <v>120</v>
      </c>
      <c r="L156" s="1" t="s">
        <v>138</v>
      </c>
      <c r="M156" s="1" t="s">
        <v>121</v>
      </c>
    </row>
    <row r="157" spans="1:13" ht="15" customHeight="1">
      <c r="A157" s="1" t="s">
        <v>288</v>
      </c>
      <c r="B157" s="4">
        <v>45862</v>
      </c>
      <c r="C157" s="1" t="s">
        <v>78</v>
      </c>
      <c r="D157" s="1" t="s">
        <v>132</v>
      </c>
      <c r="E157" s="1" t="s">
        <v>123</v>
      </c>
      <c r="F157" s="1" t="s">
        <v>128</v>
      </c>
      <c r="G157" s="1">
        <v>13.7</v>
      </c>
      <c r="H157" s="1">
        <v>16</v>
      </c>
      <c r="I157" s="1">
        <v>5</v>
      </c>
      <c r="J157" s="1">
        <v>80.3</v>
      </c>
      <c r="K157" s="1" t="s">
        <v>120</v>
      </c>
      <c r="L157" s="1" t="s">
        <v>121</v>
      </c>
      <c r="M157" s="1" t="s">
        <v>138</v>
      </c>
    </row>
    <row r="158" spans="1:13" ht="15" customHeight="1">
      <c r="A158" s="1" t="s">
        <v>289</v>
      </c>
      <c r="B158" s="4">
        <v>45926</v>
      </c>
      <c r="C158" s="1" t="s">
        <v>67</v>
      </c>
      <c r="D158" s="1" t="s">
        <v>125</v>
      </c>
      <c r="E158" s="1" t="s">
        <v>123</v>
      </c>
      <c r="F158" s="1" t="s">
        <v>128</v>
      </c>
      <c r="G158" s="1">
        <v>14</v>
      </c>
      <c r="H158" s="1">
        <v>7</v>
      </c>
      <c r="I158" s="1">
        <v>5</v>
      </c>
      <c r="J158" s="1">
        <v>87.5</v>
      </c>
      <c r="K158" s="1" t="s">
        <v>120</v>
      </c>
      <c r="L158" s="1" t="s">
        <v>121</v>
      </c>
      <c r="M158" s="1" t="s">
        <v>121</v>
      </c>
    </row>
    <row r="159" spans="1:13" ht="15" customHeight="1">
      <c r="A159" s="1" t="s">
        <v>290</v>
      </c>
      <c r="B159" s="4">
        <v>45711</v>
      </c>
      <c r="C159" s="1" t="s">
        <v>80</v>
      </c>
      <c r="D159" s="1" t="s">
        <v>132</v>
      </c>
      <c r="E159" s="1" t="s">
        <v>134</v>
      </c>
      <c r="F159" s="1" t="s">
        <v>128</v>
      </c>
      <c r="G159" s="1">
        <v>4.4000000000000004</v>
      </c>
      <c r="H159" s="1">
        <v>46</v>
      </c>
      <c r="I159" s="1">
        <v>4</v>
      </c>
      <c r="J159" s="1">
        <v>89.6</v>
      </c>
      <c r="K159" s="1" t="s">
        <v>120</v>
      </c>
      <c r="L159" s="1" t="s">
        <v>121</v>
      </c>
      <c r="M159" s="1" t="s">
        <v>121</v>
      </c>
    </row>
    <row r="160" spans="1:13" ht="15" customHeight="1">
      <c r="A160" s="1" t="s">
        <v>291</v>
      </c>
      <c r="B160" s="4">
        <v>45874</v>
      </c>
      <c r="C160" s="1" t="s">
        <v>49</v>
      </c>
      <c r="D160" s="1" t="s">
        <v>125</v>
      </c>
      <c r="E160" s="1" t="s">
        <v>130</v>
      </c>
      <c r="F160" s="1" t="s">
        <v>126</v>
      </c>
      <c r="G160" s="1">
        <v>36.5</v>
      </c>
      <c r="H160" s="1">
        <v>51</v>
      </c>
      <c r="I160" s="1">
        <v>2</v>
      </c>
      <c r="J160" s="1">
        <v>81.900000000000006</v>
      </c>
      <c r="K160" s="1" t="s">
        <v>120</v>
      </c>
      <c r="L160" s="1" t="s">
        <v>121</v>
      </c>
      <c r="M160" s="1" t="s">
        <v>121</v>
      </c>
    </row>
    <row r="161" spans="1:13" ht="15" customHeight="1">
      <c r="A161" s="1" t="s">
        <v>292</v>
      </c>
      <c r="B161" s="4">
        <v>45949</v>
      </c>
      <c r="C161" s="1" t="s">
        <v>65</v>
      </c>
      <c r="D161" s="1" t="s">
        <v>125</v>
      </c>
      <c r="E161" s="1" t="s">
        <v>130</v>
      </c>
      <c r="F161" s="1" t="s">
        <v>128</v>
      </c>
      <c r="G161" s="1">
        <v>39.200000000000003</v>
      </c>
      <c r="H161" s="1">
        <v>5</v>
      </c>
      <c r="I161" s="1">
        <v>4</v>
      </c>
      <c r="J161" s="1">
        <v>85.8</v>
      </c>
      <c r="K161" s="1" t="s">
        <v>120</v>
      </c>
      <c r="L161" s="1" t="s">
        <v>121</v>
      </c>
      <c r="M161" s="1" t="s">
        <v>121</v>
      </c>
    </row>
    <row r="162" spans="1:13" ht="15" customHeight="1">
      <c r="A162" s="1" t="s">
        <v>293</v>
      </c>
      <c r="B162" s="4">
        <v>45727</v>
      </c>
      <c r="C162" s="1" t="s">
        <v>41</v>
      </c>
      <c r="D162" s="1" t="s">
        <v>125</v>
      </c>
      <c r="E162" s="1" t="s">
        <v>118</v>
      </c>
      <c r="F162" s="1" t="s">
        <v>128</v>
      </c>
      <c r="G162" s="1">
        <v>23.8</v>
      </c>
      <c r="H162" s="1">
        <v>47</v>
      </c>
      <c r="I162" s="1">
        <v>5</v>
      </c>
      <c r="J162" s="1">
        <v>85.8</v>
      </c>
      <c r="K162" s="1" t="s">
        <v>120</v>
      </c>
      <c r="L162" s="1" t="s">
        <v>121</v>
      </c>
      <c r="M162" s="1" t="s">
        <v>121</v>
      </c>
    </row>
    <row r="163" spans="1:13" ht="15" customHeight="1">
      <c r="A163" s="1" t="s">
        <v>294</v>
      </c>
      <c r="B163" s="4">
        <v>45986</v>
      </c>
      <c r="C163" s="1" t="s">
        <v>102</v>
      </c>
      <c r="D163" s="1" t="s">
        <v>125</v>
      </c>
      <c r="E163" s="1" t="s">
        <v>130</v>
      </c>
      <c r="F163" s="1" t="s">
        <v>128</v>
      </c>
      <c r="G163" s="1">
        <v>18.399999999999999</v>
      </c>
      <c r="H163" s="1">
        <v>40</v>
      </c>
      <c r="I163" s="1">
        <v>3</v>
      </c>
      <c r="J163" s="1">
        <v>81.8</v>
      </c>
      <c r="K163" s="1" t="s">
        <v>120</v>
      </c>
      <c r="L163" s="1" t="s">
        <v>121</v>
      </c>
      <c r="M163" s="1" t="s">
        <v>121</v>
      </c>
    </row>
    <row r="164" spans="1:13" ht="15" customHeight="1">
      <c r="A164" s="1" t="s">
        <v>295</v>
      </c>
      <c r="B164" s="4">
        <v>46022</v>
      </c>
      <c r="C164" s="1" t="s">
        <v>90</v>
      </c>
      <c r="D164" s="1" t="s">
        <v>117</v>
      </c>
      <c r="E164" s="1" t="s">
        <v>147</v>
      </c>
      <c r="F164" s="1" t="s">
        <v>119</v>
      </c>
      <c r="G164" s="1">
        <v>18.2</v>
      </c>
      <c r="H164" s="1">
        <v>19</v>
      </c>
      <c r="I164" s="1">
        <v>4</v>
      </c>
      <c r="J164" s="1">
        <v>81.400000000000006</v>
      </c>
      <c r="K164" s="1" t="s">
        <v>120</v>
      </c>
      <c r="L164" s="1" t="s">
        <v>121</v>
      </c>
      <c r="M164" s="1" t="s">
        <v>121</v>
      </c>
    </row>
    <row r="165" spans="1:13" ht="15" customHeight="1">
      <c r="A165" s="1" t="s">
        <v>296</v>
      </c>
      <c r="B165" s="4">
        <v>45674</v>
      </c>
      <c r="C165" s="1" t="s">
        <v>46</v>
      </c>
      <c r="D165" s="1" t="s">
        <v>132</v>
      </c>
      <c r="E165" s="1" t="s">
        <v>118</v>
      </c>
      <c r="F165" s="1" t="s">
        <v>128</v>
      </c>
      <c r="G165" s="1">
        <v>23.2</v>
      </c>
      <c r="H165" s="1">
        <v>65</v>
      </c>
      <c r="I165" s="1">
        <v>4</v>
      </c>
      <c r="J165" s="1">
        <v>100</v>
      </c>
      <c r="K165" s="1" t="s">
        <v>120</v>
      </c>
      <c r="L165" s="1" t="s">
        <v>121</v>
      </c>
      <c r="M165" s="1" t="s">
        <v>121</v>
      </c>
    </row>
    <row r="166" spans="1:13" ht="15" customHeight="1">
      <c r="A166" s="1" t="s">
        <v>297</v>
      </c>
      <c r="B166" s="4">
        <v>45770</v>
      </c>
      <c r="C166" s="1" t="s">
        <v>54</v>
      </c>
      <c r="D166" s="1" t="s">
        <v>132</v>
      </c>
      <c r="E166" s="1" t="s">
        <v>145</v>
      </c>
      <c r="F166" s="1" t="s">
        <v>128</v>
      </c>
      <c r="G166" s="1">
        <v>14.5</v>
      </c>
      <c r="H166" s="1">
        <v>56</v>
      </c>
      <c r="I166" s="1">
        <v>4</v>
      </c>
      <c r="J166" s="1">
        <v>94.8</v>
      </c>
      <c r="K166" s="1" t="s">
        <v>120</v>
      </c>
      <c r="L166" s="1" t="s">
        <v>121</v>
      </c>
      <c r="M166" s="1" t="s">
        <v>121</v>
      </c>
    </row>
    <row r="167" spans="1:13" ht="15" customHeight="1">
      <c r="A167" s="1" t="s">
        <v>298</v>
      </c>
      <c r="B167" s="4">
        <v>45677</v>
      </c>
      <c r="C167" s="1" t="s">
        <v>49</v>
      </c>
      <c r="D167" s="1" t="s">
        <v>125</v>
      </c>
      <c r="E167" s="1" t="s">
        <v>147</v>
      </c>
      <c r="F167" s="1" t="s">
        <v>128</v>
      </c>
      <c r="G167" s="1">
        <v>5.5</v>
      </c>
      <c r="H167" s="1">
        <v>40</v>
      </c>
      <c r="I167" s="1">
        <v>2</v>
      </c>
      <c r="J167" s="1">
        <v>84.1</v>
      </c>
      <c r="K167" s="1" t="s">
        <v>120</v>
      </c>
      <c r="L167" s="1" t="s">
        <v>138</v>
      </c>
      <c r="M167" s="1" t="s">
        <v>121</v>
      </c>
    </row>
    <row r="168" spans="1:13" ht="15" customHeight="1">
      <c r="A168" s="1" t="s">
        <v>299</v>
      </c>
      <c r="B168" s="4">
        <v>45731</v>
      </c>
      <c r="C168" s="1" t="s">
        <v>98</v>
      </c>
      <c r="D168" s="1" t="s">
        <v>117</v>
      </c>
      <c r="E168" s="1" t="s">
        <v>134</v>
      </c>
      <c r="F168" s="1" t="s">
        <v>128</v>
      </c>
      <c r="G168" s="1">
        <v>0.6</v>
      </c>
      <c r="H168" s="1">
        <v>54</v>
      </c>
      <c r="I168" s="1">
        <v>4</v>
      </c>
      <c r="J168" s="1">
        <v>78.900000000000006</v>
      </c>
      <c r="K168" s="1" t="s">
        <v>120</v>
      </c>
      <c r="L168" s="1" t="s">
        <v>121</v>
      </c>
      <c r="M168" s="1" t="s">
        <v>121</v>
      </c>
    </row>
    <row r="169" spans="1:13" ht="15" customHeight="1">
      <c r="A169" s="1" t="s">
        <v>300</v>
      </c>
      <c r="B169" s="4">
        <v>45980</v>
      </c>
      <c r="C169" s="1" t="s">
        <v>56</v>
      </c>
      <c r="D169" s="1" t="s">
        <v>117</v>
      </c>
      <c r="E169" s="1" t="s">
        <v>134</v>
      </c>
      <c r="F169" s="1" t="s">
        <v>126</v>
      </c>
      <c r="G169" s="1">
        <v>32.9</v>
      </c>
      <c r="H169" s="1">
        <v>18</v>
      </c>
      <c r="I169" s="1">
        <v>3</v>
      </c>
      <c r="J169" s="1">
        <v>97.1</v>
      </c>
      <c r="K169" s="1" t="s">
        <v>120</v>
      </c>
      <c r="L169" s="1" t="s">
        <v>121</v>
      </c>
      <c r="M169" s="1" t="s">
        <v>121</v>
      </c>
    </row>
    <row r="170" spans="1:13" ht="15" customHeight="1">
      <c r="A170" s="1" t="s">
        <v>301</v>
      </c>
      <c r="B170" s="4">
        <v>46010</v>
      </c>
      <c r="C170" s="1" t="s">
        <v>84</v>
      </c>
      <c r="D170" s="1" t="s">
        <v>125</v>
      </c>
      <c r="E170" s="1" t="s">
        <v>134</v>
      </c>
      <c r="F170" s="1" t="s">
        <v>128</v>
      </c>
      <c r="G170" s="1">
        <v>23.3</v>
      </c>
      <c r="H170" s="1">
        <v>53</v>
      </c>
      <c r="I170" s="1">
        <v>3</v>
      </c>
      <c r="J170" s="1">
        <v>89.2</v>
      </c>
      <c r="K170" s="1" t="s">
        <v>120</v>
      </c>
      <c r="L170" s="1" t="s">
        <v>121</v>
      </c>
      <c r="M170" s="1" t="s">
        <v>121</v>
      </c>
    </row>
    <row r="171" spans="1:13" ht="15" customHeight="1">
      <c r="A171" s="1" t="s">
        <v>302</v>
      </c>
      <c r="B171" s="4">
        <v>45834</v>
      </c>
      <c r="C171" s="1" t="s">
        <v>78</v>
      </c>
      <c r="D171" s="1" t="s">
        <v>117</v>
      </c>
      <c r="E171" s="1" t="s">
        <v>130</v>
      </c>
      <c r="F171" s="1" t="s">
        <v>126</v>
      </c>
      <c r="G171" s="1">
        <v>75.599999999999994</v>
      </c>
      <c r="H171" s="1">
        <v>23</v>
      </c>
      <c r="I171" s="1">
        <v>4</v>
      </c>
      <c r="J171" s="1">
        <v>89.7</v>
      </c>
      <c r="K171" s="1" t="s">
        <v>120</v>
      </c>
      <c r="L171" s="1" t="s">
        <v>121</v>
      </c>
      <c r="M171" s="1" t="s">
        <v>121</v>
      </c>
    </row>
    <row r="172" spans="1:13" ht="15" customHeight="1">
      <c r="A172" s="1" t="s">
        <v>303</v>
      </c>
      <c r="B172" s="4">
        <v>45785</v>
      </c>
      <c r="C172" s="1" t="s">
        <v>56</v>
      </c>
      <c r="D172" s="1" t="s">
        <v>125</v>
      </c>
      <c r="E172" s="1" t="s">
        <v>123</v>
      </c>
      <c r="F172" s="1" t="s">
        <v>128</v>
      </c>
      <c r="G172" s="1">
        <v>15.8</v>
      </c>
      <c r="H172" s="1">
        <v>48</v>
      </c>
      <c r="I172" s="1">
        <v>4</v>
      </c>
      <c r="J172" s="1">
        <v>80.5</v>
      </c>
      <c r="K172" s="1" t="s">
        <v>120</v>
      </c>
      <c r="L172" s="1" t="s">
        <v>121</v>
      </c>
      <c r="M172" s="1" t="s">
        <v>121</v>
      </c>
    </row>
    <row r="173" spans="1:13" ht="15" customHeight="1">
      <c r="A173" s="1" t="s">
        <v>304</v>
      </c>
      <c r="B173" s="4">
        <v>45746</v>
      </c>
      <c r="C173" s="1" t="s">
        <v>88</v>
      </c>
      <c r="D173" s="1" t="s">
        <v>117</v>
      </c>
      <c r="E173" s="1" t="s">
        <v>123</v>
      </c>
      <c r="F173" s="1" t="s">
        <v>119</v>
      </c>
      <c r="G173" s="1">
        <v>5.6</v>
      </c>
      <c r="H173" s="1">
        <v>23</v>
      </c>
      <c r="I173" s="1">
        <v>4</v>
      </c>
      <c r="J173" s="1">
        <v>77.099999999999994</v>
      </c>
      <c r="K173" s="1" t="s">
        <v>120</v>
      </c>
      <c r="L173" s="1" t="s">
        <v>121</v>
      </c>
      <c r="M173" s="1" t="s">
        <v>138</v>
      </c>
    </row>
    <row r="174" spans="1:13" ht="15" customHeight="1">
      <c r="A174" s="1" t="s">
        <v>305</v>
      </c>
      <c r="B174" s="4">
        <v>45957</v>
      </c>
      <c r="C174" s="1" t="s">
        <v>60</v>
      </c>
      <c r="D174" s="1" t="s">
        <v>117</v>
      </c>
      <c r="E174" s="1" t="s">
        <v>134</v>
      </c>
      <c r="F174" s="1" t="s">
        <v>128</v>
      </c>
      <c r="G174" s="1">
        <v>44.4</v>
      </c>
      <c r="H174" s="1">
        <v>17</v>
      </c>
      <c r="I174" s="1">
        <v>5</v>
      </c>
      <c r="J174" s="1">
        <v>92.9</v>
      </c>
      <c r="K174" s="1" t="s">
        <v>120</v>
      </c>
      <c r="L174" s="1" t="s">
        <v>121</v>
      </c>
      <c r="M174" s="1" t="s">
        <v>121</v>
      </c>
    </row>
    <row r="175" spans="1:13" ht="15" customHeight="1">
      <c r="A175" s="1" t="s">
        <v>306</v>
      </c>
      <c r="B175" s="4">
        <v>45908</v>
      </c>
      <c r="C175" s="1" t="s">
        <v>62</v>
      </c>
      <c r="D175" s="1" t="s">
        <v>125</v>
      </c>
      <c r="E175" s="1" t="s">
        <v>123</v>
      </c>
      <c r="F175" s="1" t="s">
        <v>126</v>
      </c>
      <c r="G175" s="1">
        <v>32.799999999999997</v>
      </c>
      <c r="H175" s="1">
        <v>23</v>
      </c>
      <c r="I175" s="1">
        <v>3</v>
      </c>
      <c r="J175" s="1">
        <v>88</v>
      </c>
      <c r="K175" s="1" t="s">
        <v>120</v>
      </c>
      <c r="L175" s="1" t="s">
        <v>121</v>
      </c>
      <c r="M175" s="1" t="s">
        <v>121</v>
      </c>
    </row>
    <row r="176" spans="1:13" ht="15" customHeight="1">
      <c r="A176" s="1" t="s">
        <v>307</v>
      </c>
      <c r="B176" s="4">
        <v>45720</v>
      </c>
      <c r="C176" s="1" t="s">
        <v>80</v>
      </c>
      <c r="D176" s="1" t="s">
        <v>117</v>
      </c>
      <c r="E176" s="1" t="s">
        <v>134</v>
      </c>
      <c r="F176" s="1" t="s">
        <v>126</v>
      </c>
      <c r="G176" s="1">
        <v>8.9</v>
      </c>
      <c r="H176" s="1">
        <v>29</v>
      </c>
      <c r="I176" s="1">
        <v>2</v>
      </c>
      <c r="J176" s="1">
        <v>96.4</v>
      </c>
      <c r="K176" s="1" t="s">
        <v>120</v>
      </c>
      <c r="L176" s="1" t="s">
        <v>121</v>
      </c>
      <c r="M176" s="1" t="s">
        <v>121</v>
      </c>
    </row>
    <row r="177" spans="1:13" ht="15" customHeight="1">
      <c r="A177" s="1" t="s">
        <v>308</v>
      </c>
      <c r="B177" s="4">
        <v>45929</v>
      </c>
      <c r="C177" s="1" t="s">
        <v>56</v>
      </c>
      <c r="D177" s="1" t="s">
        <v>125</v>
      </c>
      <c r="E177" s="1" t="s">
        <v>118</v>
      </c>
      <c r="F177" s="1" t="s">
        <v>126</v>
      </c>
      <c r="G177" s="1">
        <v>23</v>
      </c>
      <c r="H177" s="1">
        <v>52</v>
      </c>
      <c r="I177" s="1">
        <v>5</v>
      </c>
      <c r="J177" s="1">
        <v>90.8</v>
      </c>
      <c r="K177" s="1" t="s">
        <v>120</v>
      </c>
      <c r="L177" s="1" t="s">
        <v>121</v>
      </c>
      <c r="M177" s="1" t="s">
        <v>121</v>
      </c>
    </row>
    <row r="178" spans="1:13" ht="15" customHeight="1">
      <c r="A178" s="1" t="s">
        <v>309</v>
      </c>
      <c r="B178" s="4">
        <v>45947</v>
      </c>
      <c r="C178" s="1" t="s">
        <v>54</v>
      </c>
      <c r="D178" s="1" t="s">
        <v>132</v>
      </c>
      <c r="E178" s="1" t="s">
        <v>147</v>
      </c>
      <c r="F178" s="1" t="s">
        <v>126</v>
      </c>
      <c r="G178" s="1">
        <v>28.3</v>
      </c>
      <c r="H178" s="1">
        <v>41</v>
      </c>
      <c r="I178" s="1">
        <v>4</v>
      </c>
      <c r="J178" s="1">
        <v>96</v>
      </c>
      <c r="K178" s="1" t="s">
        <v>120</v>
      </c>
      <c r="L178" s="1" t="s">
        <v>121</v>
      </c>
      <c r="M178" s="1" t="s">
        <v>121</v>
      </c>
    </row>
    <row r="179" spans="1:13" ht="15" customHeight="1">
      <c r="A179" s="1" t="s">
        <v>310</v>
      </c>
      <c r="B179" s="4">
        <v>45766</v>
      </c>
      <c r="C179" s="1" t="s">
        <v>65</v>
      </c>
      <c r="D179" s="1" t="s">
        <v>132</v>
      </c>
      <c r="E179" s="1" t="s">
        <v>118</v>
      </c>
      <c r="F179" s="1" t="s">
        <v>126</v>
      </c>
      <c r="G179" s="1">
        <v>98</v>
      </c>
      <c r="H179" s="1">
        <v>52</v>
      </c>
      <c r="I179" s="1">
        <v>5</v>
      </c>
      <c r="J179" s="1">
        <v>82.6</v>
      </c>
      <c r="K179" s="1" t="s">
        <v>120</v>
      </c>
      <c r="L179" s="1" t="s">
        <v>121</v>
      </c>
      <c r="M179" s="1" t="s">
        <v>121</v>
      </c>
    </row>
    <row r="180" spans="1:13" ht="15" customHeight="1">
      <c r="A180" s="1" t="s">
        <v>311</v>
      </c>
      <c r="B180" s="4">
        <v>45844</v>
      </c>
      <c r="C180" s="1" t="s">
        <v>54</v>
      </c>
      <c r="D180" s="1" t="s">
        <v>125</v>
      </c>
      <c r="E180" s="1" t="s">
        <v>123</v>
      </c>
      <c r="F180" s="1" t="s">
        <v>128</v>
      </c>
      <c r="G180" s="1">
        <v>0.6</v>
      </c>
      <c r="H180" s="1">
        <v>10</v>
      </c>
      <c r="I180" s="1">
        <v>3</v>
      </c>
      <c r="J180" s="1">
        <v>92.6</v>
      </c>
      <c r="K180" s="1" t="s">
        <v>120</v>
      </c>
      <c r="L180" s="1" t="s">
        <v>121</v>
      </c>
      <c r="M180" s="1" t="s">
        <v>121</v>
      </c>
    </row>
    <row r="181" spans="1:13" ht="15" customHeight="1">
      <c r="A181" s="1" t="s">
        <v>312</v>
      </c>
      <c r="B181" s="4">
        <v>45735</v>
      </c>
      <c r="C181" s="1" t="s">
        <v>67</v>
      </c>
      <c r="D181" s="1" t="s">
        <v>125</v>
      </c>
      <c r="E181" s="1" t="s">
        <v>118</v>
      </c>
      <c r="F181" s="1" t="s">
        <v>126</v>
      </c>
      <c r="G181" s="1">
        <v>15.2</v>
      </c>
      <c r="H181" s="1">
        <v>32</v>
      </c>
      <c r="I181" s="1">
        <v>5</v>
      </c>
      <c r="J181" s="1">
        <v>92.2</v>
      </c>
      <c r="K181" s="1" t="s">
        <v>120</v>
      </c>
      <c r="L181" s="1" t="s">
        <v>121</v>
      </c>
      <c r="M181" s="1" t="s">
        <v>138</v>
      </c>
    </row>
    <row r="182" spans="1:13" ht="15" customHeight="1">
      <c r="A182" s="1" t="s">
        <v>313</v>
      </c>
      <c r="B182" s="4">
        <v>45839</v>
      </c>
      <c r="C182" s="1" t="s">
        <v>60</v>
      </c>
      <c r="D182" s="1" t="s">
        <v>117</v>
      </c>
      <c r="E182" s="1" t="s">
        <v>130</v>
      </c>
      <c r="F182" s="1" t="s">
        <v>126</v>
      </c>
      <c r="G182" s="1">
        <v>75.3</v>
      </c>
      <c r="H182" s="1">
        <v>78</v>
      </c>
      <c r="I182" s="1">
        <v>4</v>
      </c>
      <c r="J182" s="1">
        <v>84.8</v>
      </c>
      <c r="K182" s="1" t="s">
        <v>120</v>
      </c>
      <c r="L182" s="1" t="s">
        <v>121</v>
      </c>
      <c r="M182" s="1" t="s">
        <v>121</v>
      </c>
    </row>
    <row r="183" spans="1:13" ht="15" customHeight="1">
      <c r="A183" s="1" t="s">
        <v>314</v>
      </c>
      <c r="B183" s="4">
        <v>45860</v>
      </c>
      <c r="C183" s="1" t="s">
        <v>102</v>
      </c>
      <c r="D183" s="1" t="s">
        <v>117</v>
      </c>
      <c r="E183" s="1" t="s">
        <v>123</v>
      </c>
      <c r="F183" s="1" t="s">
        <v>119</v>
      </c>
      <c r="G183" s="1">
        <v>10.4</v>
      </c>
      <c r="H183" s="1">
        <v>17</v>
      </c>
      <c r="I183" s="1">
        <v>5</v>
      </c>
      <c r="J183" s="1">
        <v>83.8</v>
      </c>
      <c r="K183" s="1" t="s">
        <v>120</v>
      </c>
      <c r="L183" s="1" t="s">
        <v>121</v>
      </c>
      <c r="M183" s="1" t="s">
        <v>121</v>
      </c>
    </row>
    <row r="184" spans="1:13" ht="15" customHeight="1">
      <c r="A184" s="1" t="s">
        <v>315</v>
      </c>
      <c r="B184" s="4">
        <v>45913</v>
      </c>
      <c r="C184" s="1" t="s">
        <v>75</v>
      </c>
      <c r="D184" s="1" t="s">
        <v>117</v>
      </c>
      <c r="E184" s="1" t="s">
        <v>130</v>
      </c>
      <c r="F184" s="1" t="s">
        <v>135</v>
      </c>
      <c r="G184" s="1">
        <v>0.5</v>
      </c>
      <c r="H184" s="1">
        <v>13</v>
      </c>
      <c r="I184" s="1">
        <v>3</v>
      </c>
      <c r="J184" s="1">
        <v>72.5</v>
      </c>
      <c r="K184" s="1" t="s">
        <v>120</v>
      </c>
      <c r="L184" s="1" t="s">
        <v>121</v>
      </c>
      <c r="M184" s="1" t="s">
        <v>121</v>
      </c>
    </row>
    <row r="185" spans="1:13" ht="15" customHeight="1">
      <c r="A185" s="1" t="s">
        <v>316</v>
      </c>
      <c r="B185" s="4">
        <v>45909</v>
      </c>
      <c r="C185" s="1" t="s">
        <v>80</v>
      </c>
      <c r="D185" s="1" t="s">
        <v>125</v>
      </c>
      <c r="E185" s="1" t="s">
        <v>118</v>
      </c>
      <c r="F185" s="1" t="s">
        <v>135</v>
      </c>
      <c r="G185" s="1">
        <v>3.8</v>
      </c>
      <c r="H185" s="1">
        <v>37</v>
      </c>
      <c r="I185" s="1">
        <v>4</v>
      </c>
      <c r="J185" s="1">
        <v>91.6</v>
      </c>
      <c r="K185" s="1" t="s">
        <v>120</v>
      </c>
      <c r="L185" s="1" t="s">
        <v>121</v>
      </c>
      <c r="M185" s="1" t="s">
        <v>121</v>
      </c>
    </row>
    <row r="186" spans="1:13" ht="15" customHeight="1">
      <c r="A186" s="1" t="s">
        <v>317</v>
      </c>
      <c r="B186" s="4">
        <v>45974</v>
      </c>
      <c r="C186" s="1" t="s">
        <v>69</v>
      </c>
      <c r="D186" s="1" t="s">
        <v>132</v>
      </c>
      <c r="E186" s="1" t="s">
        <v>123</v>
      </c>
      <c r="F186" s="1" t="s">
        <v>128</v>
      </c>
      <c r="G186" s="1">
        <v>38.5</v>
      </c>
      <c r="H186" s="1">
        <v>30</v>
      </c>
      <c r="I186" s="1">
        <v>2</v>
      </c>
      <c r="J186" s="1">
        <v>94.8</v>
      </c>
      <c r="K186" s="1" t="s">
        <v>159</v>
      </c>
      <c r="L186" s="1" t="s">
        <v>121</v>
      </c>
      <c r="M186" s="1" t="s">
        <v>121</v>
      </c>
    </row>
    <row r="187" spans="1:13" ht="15" customHeight="1">
      <c r="A187" s="1" t="s">
        <v>318</v>
      </c>
      <c r="B187" s="4">
        <v>45817</v>
      </c>
      <c r="C187" s="1" t="s">
        <v>49</v>
      </c>
      <c r="D187" s="1" t="s">
        <v>132</v>
      </c>
      <c r="E187" s="1" t="s">
        <v>118</v>
      </c>
      <c r="F187" s="1" t="s">
        <v>126</v>
      </c>
      <c r="G187" s="1">
        <v>32</v>
      </c>
      <c r="H187" s="1">
        <v>47</v>
      </c>
      <c r="I187" s="1">
        <v>4</v>
      </c>
      <c r="J187" s="1">
        <v>86.3</v>
      </c>
      <c r="K187" s="1" t="s">
        <v>120</v>
      </c>
      <c r="L187" s="1" t="s">
        <v>121</v>
      </c>
      <c r="M187" s="1" t="s">
        <v>121</v>
      </c>
    </row>
    <row r="188" spans="1:13" ht="15" customHeight="1">
      <c r="A188" s="1" t="s">
        <v>319</v>
      </c>
      <c r="B188" s="4">
        <v>45815</v>
      </c>
      <c r="C188" s="1" t="s">
        <v>65</v>
      </c>
      <c r="D188" s="1" t="s">
        <v>132</v>
      </c>
      <c r="E188" s="1" t="s">
        <v>118</v>
      </c>
      <c r="F188" s="1" t="s">
        <v>128</v>
      </c>
      <c r="G188" s="1">
        <v>19.8</v>
      </c>
      <c r="H188" s="1">
        <v>24</v>
      </c>
      <c r="I188" s="1">
        <v>2</v>
      </c>
      <c r="J188" s="1">
        <v>71.8</v>
      </c>
      <c r="K188" s="1" t="s">
        <v>120</v>
      </c>
      <c r="L188" s="1" t="s">
        <v>121</v>
      </c>
      <c r="M188" s="1" t="s">
        <v>121</v>
      </c>
    </row>
    <row r="189" spans="1:13" ht="15" customHeight="1">
      <c r="A189" s="1" t="s">
        <v>320</v>
      </c>
      <c r="B189" s="4">
        <v>45892</v>
      </c>
      <c r="C189" s="1" t="s">
        <v>90</v>
      </c>
      <c r="D189" s="1" t="s">
        <v>132</v>
      </c>
      <c r="E189" s="1" t="s">
        <v>118</v>
      </c>
      <c r="F189" s="1" t="s">
        <v>126</v>
      </c>
      <c r="G189" s="1">
        <v>36.799999999999997</v>
      </c>
      <c r="H189" s="1">
        <v>56</v>
      </c>
      <c r="I189" s="1">
        <v>5</v>
      </c>
      <c r="J189" s="1">
        <v>84.4</v>
      </c>
      <c r="K189" s="1" t="s">
        <v>120</v>
      </c>
      <c r="L189" s="1" t="s">
        <v>121</v>
      </c>
      <c r="M189" s="1" t="s">
        <v>121</v>
      </c>
    </row>
    <row r="190" spans="1:13" ht="15" customHeight="1">
      <c r="A190" s="1" t="s">
        <v>321</v>
      </c>
      <c r="B190" s="4">
        <v>45800</v>
      </c>
      <c r="C190" s="1" t="s">
        <v>80</v>
      </c>
      <c r="D190" s="1" t="s">
        <v>117</v>
      </c>
      <c r="E190" s="1" t="s">
        <v>145</v>
      </c>
      <c r="F190" s="1" t="s">
        <v>128</v>
      </c>
      <c r="G190" s="1">
        <v>16.600000000000001</v>
      </c>
      <c r="H190" s="1">
        <v>22</v>
      </c>
      <c r="I190" s="1">
        <v>4</v>
      </c>
      <c r="J190" s="1">
        <v>99.3</v>
      </c>
      <c r="K190" s="1" t="s">
        <v>159</v>
      </c>
      <c r="L190" s="1" t="s">
        <v>121</v>
      </c>
      <c r="M190" s="1" t="s">
        <v>138</v>
      </c>
    </row>
    <row r="191" spans="1:13" ht="15" customHeight="1">
      <c r="A191" s="1" t="s">
        <v>322</v>
      </c>
      <c r="B191" s="4">
        <v>45861</v>
      </c>
      <c r="C191" s="1" t="s">
        <v>46</v>
      </c>
      <c r="D191" s="1" t="s">
        <v>132</v>
      </c>
      <c r="E191" s="1" t="s">
        <v>147</v>
      </c>
      <c r="F191" s="1" t="s">
        <v>128</v>
      </c>
      <c r="G191" s="1">
        <v>18.600000000000001</v>
      </c>
      <c r="H191" s="1">
        <v>77</v>
      </c>
      <c r="I191" s="1">
        <v>5</v>
      </c>
      <c r="J191" s="1">
        <v>90.4</v>
      </c>
      <c r="K191" s="1" t="s">
        <v>120</v>
      </c>
      <c r="L191" s="1" t="s">
        <v>121</v>
      </c>
      <c r="M191" s="1" t="s">
        <v>121</v>
      </c>
    </row>
    <row r="192" spans="1:13" ht="15" customHeight="1">
      <c r="A192" s="1" t="s">
        <v>323</v>
      </c>
      <c r="B192" s="4">
        <v>45963</v>
      </c>
      <c r="C192" s="1" t="s">
        <v>88</v>
      </c>
      <c r="D192" s="1" t="s">
        <v>125</v>
      </c>
      <c r="E192" s="1" t="s">
        <v>118</v>
      </c>
      <c r="F192" s="1" t="s">
        <v>128</v>
      </c>
      <c r="G192" s="1">
        <v>16.600000000000001</v>
      </c>
      <c r="H192" s="1">
        <v>46</v>
      </c>
      <c r="I192" s="1">
        <v>5</v>
      </c>
      <c r="J192" s="1">
        <v>77.900000000000006</v>
      </c>
      <c r="K192" s="1" t="s">
        <v>120</v>
      </c>
      <c r="L192" s="1" t="s">
        <v>121</v>
      </c>
      <c r="M192" s="1" t="s">
        <v>121</v>
      </c>
    </row>
    <row r="193" spans="1:13" ht="15" customHeight="1">
      <c r="A193" s="1" t="s">
        <v>324</v>
      </c>
      <c r="B193" s="4">
        <v>46008</v>
      </c>
      <c r="C193" s="1" t="s">
        <v>98</v>
      </c>
      <c r="D193" s="1" t="s">
        <v>132</v>
      </c>
      <c r="E193" s="1" t="s">
        <v>130</v>
      </c>
      <c r="F193" s="1" t="s">
        <v>126</v>
      </c>
      <c r="G193" s="1">
        <v>73.3</v>
      </c>
      <c r="H193" s="1">
        <v>29</v>
      </c>
      <c r="I193" s="1">
        <v>4</v>
      </c>
      <c r="J193" s="1">
        <v>87.5</v>
      </c>
      <c r="K193" s="1" t="s">
        <v>120</v>
      </c>
      <c r="L193" s="1" t="s">
        <v>121</v>
      </c>
      <c r="M193" s="1" t="s">
        <v>121</v>
      </c>
    </row>
    <row r="194" spans="1:13" ht="15" customHeight="1">
      <c r="A194" s="1" t="s">
        <v>325</v>
      </c>
      <c r="B194" s="4">
        <v>45908</v>
      </c>
      <c r="C194" s="1" t="s">
        <v>88</v>
      </c>
      <c r="D194" s="1" t="s">
        <v>117</v>
      </c>
      <c r="E194" s="1" t="s">
        <v>130</v>
      </c>
      <c r="F194" s="1" t="s">
        <v>119</v>
      </c>
      <c r="G194" s="1">
        <v>18.8</v>
      </c>
      <c r="H194" s="1">
        <v>16</v>
      </c>
      <c r="I194" s="1">
        <v>5</v>
      </c>
      <c r="J194" s="1">
        <v>75</v>
      </c>
      <c r="K194" s="1" t="s">
        <v>120</v>
      </c>
      <c r="L194" s="1" t="s">
        <v>121</v>
      </c>
      <c r="M194" s="1" t="s">
        <v>121</v>
      </c>
    </row>
    <row r="195" spans="1:13" ht="15" customHeight="1">
      <c r="A195" s="1" t="s">
        <v>326</v>
      </c>
      <c r="B195" s="4">
        <v>45891</v>
      </c>
      <c r="C195" s="1" t="s">
        <v>100</v>
      </c>
      <c r="D195" s="1" t="s">
        <v>125</v>
      </c>
      <c r="E195" s="1" t="s">
        <v>118</v>
      </c>
      <c r="F195" s="1" t="s">
        <v>126</v>
      </c>
      <c r="G195" s="1">
        <v>13.9</v>
      </c>
      <c r="H195" s="1">
        <v>39</v>
      </c>
      <c r="I195" s="1">
        <v>5</v>
      </c>
      <c r="J195" s="1">
        <v>86.2</v>
      </c>
      <c r="K195" s="1" t="s">
        <v>120</v>
      </c>
      <c r="L195" s="1" t="s">
        <v>121</v>
      </c>
      <c r="M195" s="1" t="s">
        <v>121</v>
      </c>
    </row>
    <row r="196" spans="1:13" ht="15" customHeight="1">
      <c r="A196" s="1" t="s">
        <v>327</v>
      </c>
      <c r="B196" s="4">
        <v>45706</v>
      </c>
      <c r="C196" s="1" t="s">
        <v>98</v>
      </c>
      <c r="D196" s="1" t="s">
        <v>117</v>
      </c>
      <c r="E196" s="1" t="s">
        <v>145</v>
      </c>
      <c r="F196" s="1" t="s">
        <v>119</v>
      </c>
      <c r="G196" s="1">
        <v>2.9</v>
      </c>
      <c r="H196" s="1">
        <v>46</v>
      </c>
      <c r="I196" s="1">
        <v>1</v>
      </c>
      <c r="J196" s="1">
        <v>70.900000000000006</v>
      </c>
      <c r="K196" s="1" t="s">
        <v>120</v>
      </c>
      <c r="L196" s="1" t="s">
        <v>121</v>
      </c>
      <c r="M196" s="1" t="s">
        <v>138</v>
      </c>
    </row>
    <row r="197" spans="1:13" ht="15" customHeight="1">
      <c r="A197" s="1" t="s">
        <v>328</v>
      </c>
      <c r="B197" s="4">
        <v>45668</v>
      </c>
      <c r="C197" s="1" t="s">
        <v>62</v>
      </c>
      <c r="D197" s="1" t="s">
        <v>132</v>
      </c>
      <c r="E197" s="1" t="s">
        <v>145</v>
      </c>
      <c r="F197" s="1" t="s">
        <v>126</v>
      </c>
      <c r="G197" s="1">
        <v>58.5</v>
      </c>
      <c r="H197" s="1">
        <v>8</v>
      </c>
      <c r="I197" s="1">
        <v>4</v>
      </c>
      <c r="J197" s="1">
        <v>85.2</v>
      </c>
      <c r="K197" s="1" t="s">
        <v>120</v>
      </c>
      <c r="L197" s="1" t="s">
        <v>121</v>
      </c>
      <c r="M197" s="1" t="s">
        <v>121</v>
      </c>
    </row>
    <row r="198" spans="1:13" ht="15" customHeight="1">
      <c r="A198" s="1" t="s">
        <v>329</v>
      </c>
      <c r="B198" s="4">
        <v>45679</v>
      </c>
      <c r="C198" s="1" t="s">
        <v>80</v>
      </c>
      <c r="D198" s="1" t="s">
        <v>125</v>
      </c>
      <c r="E198" s="1" t="s">
        <v>147</v>
      </c>
      <c r="F198" s="1" t="s">
        <v>128</v>
      </c>
      <c r="G198" s="1">
        <v>16.5</v>
      </c>
      <c r="H198" s="1">
        <v>51</v>
      </c>
      <c r="I198" s="1">
        <v>4</v>
      </c>
      <c r="J198" s="1">
        <v>65.2</v>
      </c>
      <c r="K198" s="1" t="s">
        <v>120</v>
      </c>
      <c r="L198" s="1" t="s">
        <v>121</v>
      </c>
      <c r="M198" s="1" t="s">
        <v>121</v>
      </c>
    </row>
    <row r="199" spans="1:13" ht="15" customHeight="1">
      <c r="A199" s="1" t="s">
        <v>330</v>
      </c>
      <c r="B199" s="4">
        <v>45712</v>
      </c>
      <c r="C199" s="1" t="s">
        <v>86</v>
      </c>
      <c r="D199" s="1" t="s">
        <v>125</v>
      </c>
      <c r="E199" s="1" t="s">
        <v>118</v>
      </c>
      <c r="F199" s="1" t="s">
        <v>119</v>
      </c>
      <c r="G199" s="1">
        <v>2.2000000000000002</v>
      </c>
      <c r="H199" s="1">
        <v>33</v>
      </c>
      <c r="I199" s="1">
        <v>5</v>
      </c>
      <c r="J199" s="1">
        <v>97.8</v>
      </c>
      <c r="K199" s="1" t="s">
        <v>120</v>
      </c>
      <c r="L199" s="1" t="s">
        <v>121</v>
      </c>
      <c r="M199" s="1" t="s">
        <v>121</v>
      </c>
    </row>
    <row r="200" spans="1:13" ht="15" customHeight="1">
      <c r="A200" s="1" t="s">
        <v>331</v>
      </c>
      <c r="B200" s="4">
        <v>45996</v>
      </c>
      <c r="C200" s="1" t="s">
        <v>73</v>
      </c>
      <c r="D200" s="1" t="s">
        <v>125</v>
      </c>
      <c r="E200" s="1" t="s">
        <v>123</v>
      </c>
      <c r="F200" s="1" t="s">
        <v>128</v>
      </c>
      <c r="G200" s="1">
        <v>40.4</v>
      </c>
      <c r="H200" s="1">
        <v>29</v>
      </c>
      <c r="I200" s="1">
        <v>4</v>
      </c>
      <c r="J200" s="1">
        <v>87.5</v>
      </c>
      <c r="K200" s="1" t="s">
        <v>120</v>
      </c>
      <c r="L200" s="1" t="s">
        <v>121</v>
      </c>
      <c r="M200" s="1" t="s">
        <v>121</v>
      </c>
    </row>
    <row r="201" spans="1:13" ht="15" customHeight="1">
      <c r="A201" s="1" t="s">
        <v>332</v>
      </c>
      <c r="B201" s="4">
        <v>45948</v>
      </c>
      <c r="C201" s="1" t="s">
        <v>90</v>
      </c>
      <c r="D201" s="1" t="s">
        <v>132</v>
      </c>
      <c r="E201" s="1" t="s">
        <v>145</v>
      </c>
      <c r="F201" s="1" t="s">
        <v>126</v>
      </c>
      <c r="G201" s="1">
        <v>70</v>
      </c>
      <c r="H201" s="1">
        <v>6</v>
      </c>
      <c r="I201" s="1">
        <v>4</v>
      </c>
      <c r="J201" s="1">
        <v>89.1</v>
      </c>
      <c r="K201" s="1" t="s">
        <v>120</v>
      </c>
      <c r="L201" s="1" t="s">
        <v>121</v>
      </c>
      <c r="M201" s="1" t="s">
        <v>121</v>
      </c>
    </row>
    <row r="202" spans="1:13" ht="15" customHeight="1">
      <c r="A202" s="1" t="s">
        <v>333</v>
      </c>
      <c r="B202" s="4">
        <v>45945</v>
      </c>
      <c r="C202" s="1" t="s">
        <v>84</v>
      </c>
      <c r="D202" s="1" t="s">
        <v>117</v>
      </c>
      <c r="E202" s="1" t="s">
        <v>123</v>
      </c>
      <c r="F202" s="1" t="s">
        <v>126</v>
      </c>
      <c r="G202" s="1">
        <v>23.2</v>
      </c>
      <c r="H202" s="1">
        <v>62</v>
      </c>
      <c r="I202" s="1">
        <v>5</v>
      </c>
      <c r="J202" s="1">
        <v>80.900000000000006</v>
      </c>
      <c r="K202" s="1" t="s">
        <v>159</v>
      </c>
      <c r="L202" s="1" t="s">
        <v>121</v>
      </c>
      <c r="M202" s="1" t="s">
        <v>121</v>
      </c>
    </row>
    <row r="203" spans="1:13" ht="15" customHeight="1">
      <c r="A203" s="1" t="s">
        <v>334</v>
      </c>
      <c r="B203" s="4">
        <v>46015</v>
      </c>
      <c r="C203" s="1" t="s">
        <v>67</v>
      </c>
      <c r="D203" s="1" t="s">
        <v>125</v>
      </c>
      <c r="E203" s="1" t="s">
        <v>118</v>
      </c>
      <c r="F203" s="1" t="s">
        <v>128</v>
      </c>
      <c r="G203" s="1">
        <v>39.9</v>
      </c>
      <c r="H203" s="1">
        <v>50</v>
      </c>
      <c r="I203" s="1">
        <v>4</v>
      </c>
      <c r="J203" s="1">
        <v>100</v>
      </c>
      <c r="K203" s="1" t="s">
        <v>120</v>
      </c>
      <c r="L203" s="1" t="s">
        <v>121</v>
      </c>
      <c r="M203" s="1" t="s">
        <v>121</v>
      </c>
    </row>
    <row r="204" spans="1:13" ht="15" customHeight="1">
      <c r="A204" s="1" t="s">
        <v>335</v>
      </c>
      <c r="B204" s="4">
        <v>45797</v>
      </c>
      <c r="C204" s="1" t="s">
        <v>62</v>
      </c>
      <c r="D204" s="1" t="s">
        <v>117</v>
      </c>
      <c r="E204" s="1" t="s">
        <v>130</v>
      </c>
      <c r="F204" s="1" t="s">
        <v>126</v>
      </c>
      <c r="G204" s="1">
        <v>21.7</v>
      </c>
      <c r="H204" s="1">
        <v>22</v>
      </c>
      <c r="I204" s="1">
        <v>5</v>
      </c>
      <c r="J204" s="1">
        <v>81.3</v>
      </c>
      <c r="K204" s="1" t="s">
        <v>120</v>
      </c>
      <c r="L204" s="1" t="s">
        <v>121</v>
      </c>
      <c r="M204" s="1" t="s">
        <v>121</v>
      </c>
    </row>
    <row r="205" spans="1:13" ht="15" customHeight="1">
      <c r="A205" s="1" t="s">
        <v>336</v>
      </c>
      <c r="B205" s="4">
        <v>45910</v>
      </c>
      <c r="C205" s="1" t="s">
        <v>100</v>
      </c>
      <c r="D205" s="1" t="s">
        <v>132</v>
      </c>
      <c r="E205" s="1" t="s">
        <v>147</v>
      </c>
      <c r="F205" s="1" t="s">
        <v>128</v>
      </c>
      <c r="G205" s="1">
        <v>20.9</v>
      </c>
      <c r="H205" s="1">
        <v>12</v>
      </c>
      <c r="I205" s="1">
        <v>5</v>
      </c>
      <c r="J205" s="1">
        <v>92.9</v>
      </c>
      <c r="K205" s="1" t="s">
        <v>120</v>
      </c>
      <c r="L205" s="1" t="s">
        <v>121</v>
      </c>
      <c r="M205" s="1" t="s">
        <v>121</v>
      </c>
    </row>
    <row r="206" spans="1:13" ht="15" customHeight="1">
      <c r="A206" s="1" t="s">
        <v>337</v>
      </c>
      <c r="B206" s="4">
        <v>45790</v>
      </c>
      <c r="C206" s="1" t="s">
        <v>49</v>
      </c>
      <c r="D206" s="1" t="s">
        <v>125</v>
      </c>
      <c r="E206" s="1" t="s">
        <v>130</v>
      </c>
      <c r="F206" s="1" t="s">
        <v>126</v>
      </c>
      <c r="G206" s="1">
        <v>31.1</v>
      </c>
      <c r="H206" s="1">
        <v>41</v>
      </c>
      <c r="I206" s="1">
        <v>4</v>
      </c>
      <c r="J206" s="1">
        <v>74</v>
      </c>
      <c r="K206" s="1" t="s">
        <v>120</v>
      </c>
      <c r="L206" s="1" t="s">
        <v>121</v>
      </c>
      <c r="M206" s="1" t="s">
        <v>121</v>
      </c>
    </row>
    <row r="207" spans="1:13" ht="15" customHeight="1">
      <c r="A207" s="1" t="s">
        <v>338</v>
      </c>
      <c r="B207" s="4">
        <v>45719</v>
      </c>
      <c r="C207" s="1" t="s">
        <v>67</v>
      </c>
      <c r="D207" s="1" t="s">
        <v>117</v>
      </c>
      <c r="E207" s="1" t="s">
        <v>118</v>
      </c>
      <c r="F207" s="1" t="s">
        <v>126</v>
      </c>
      <c r="G207" s="1">
        <v>78.099999999999994</v>
      </c>
      <c r="H207" s="1">
        <v>45</v>
      </c>
      <c r="I207" s="1">
        <v>4</v>
      </c>
      <c r="J207" s="1">
        <v>89.8</v>
      </c>
      <c r="K207" s="1" t="s">
        <v>120</v>
      </c>
      <c r="L207" s="1" t="s">
        <v>121</v>
      </c>
      <c r="M207" s="1" t="s">
        <v>121</v>
      </c>
    </row>
    <row r="208" spans="1:13" ht="15" customHeight="1">
      <c r="A208" s="1" t="s">
        <v>339</v>
      </c>
      <c r="B208" s="4">
        <v>45746</v>
      </c>
      <c r="C208" s="1" t="s">
        <v>49</v>
      </c>
      <c r="D208" s="1" t="s">
        <v>132</v>
      </c>
      <c r="E208" s="1" t="s">
        <v>118</v>
      </c>
      <c r="F208" s="1" t="s">
        <v>126</v>
      </c>
      <c r="G208" s="1">
        <v>58.1</v>
      </c>
      <c r="H208" s="1">
        <v>29</v>
      </c>
      <c r="I208" s="1">
        <v>4</v>
      </c>
      <c r="J208" s="1">
        <v>82.5</v>
      </c>
      <c r="K208" s="1" t="s">
        <v>120</v>
      </c>
      <c r="L208" s="1" t="s">
        <v>121</v>
      </c>
      <c r="M208" s="1" t="s">
        <v>121</v>
      </c>
    </row>
    <row r="209" spans="1:13" ht="15" customHeight="1">
      <c r="A209" s="1" t="s">
        <v>340</v>
      </c>
      <c r="B209" s="4">
        <v>45728</v>
      </c>
      <c r="C209" s="1" t="s">
        <v>54</v>
      </c>
      <c r="D209" s="1" t="s">
        <v>125</v>
      </c>
      <c r="E209" s="1" t="s">
        <v>147</v>
      </c>
      <c r="F209" s="1" t="s">
        <v>126</v>
      </c>
      <c r="G209" s="1">
        <v>59.8</v>
      </c>
      <c r="H209" s="1">
        <v>20</v>
      </c>
      <c r="I209" s="1">
        <v>1</v>
      </c>
      <c r="J209" s="1">
        <v>89.4</v>
      </c>
      <c r="K209" s="1" t="s">
        <v>120</v>
      </c>
      <c r="L209" s="1" t="s">
        <v>121</v>
      </c>
      <c r="M209" s="1" t="s">
        <v>121</v>
      </c>
    </row>
    <row r="210" spans="1:13" ht="15" customHeight="1">
      <c r="A210" s="1" t="s">
        <v>341</v>
      </c>
      <c r="B210" s="4">
        <v>45756</v>
      </c>
      <c r="C210" s="1" t="s">
        <v>75</v>
      </c>
      <c r="D210" s="1" t="s">
        <v>117</v>
      </c>
      <c r="E210" s="1" t="s">
        <v>134</v>
      </c>
      <c r="F210" s="1" t="s">
        <v>119</v>
      </c>
      <c r="G210" s="1">
        <v>9.6999999999999993</v>
      </c>
      <c r="H210" s="1">
        <v>35</v>
      </c>
      <c r="I210" s="1">
        <v>4</v>
      </c>
      <c r="J210" s="1">
        <v>81.599999999999994</v>
      </c>
      <c r="K210" s="1" t="s">
        <v>159</v>
      </c>
      <c r="L210" s="1" t="s">
        <v>121</v>
      </c>
      <c r="M210" s="1" t="s">
        <v>138</v>
      </c>
    </row>
    <row r="211" spans="1:13" ht="15" customHeight="1">
      <c r="A211" s="1" t="s">
        <v>342</v>
      </c>
      <c r="B211" s="4">
        <v>45746</v>
      </c>
      <c r="C211" s="1" t="s">
        <v>88</v>
      </c>
      <c r="D211" s="1" t="s">
        <v>117</v>
      </c>
      <c r="E211" s="1" t="s">
        <v>147</v>
      </c>
      <c r="F211" s="1" t="s">
        <v>119</v>
      </c>
      <c r="G211" s="1">
        <v>8.9</v>
      </c>
      <c r="H211" s="1">
        <v>5</v>
      </c>
      <c r="I211" s="1">
        <v>4</v>
      </c>
      <c r="J211" s="1">
        <v>88</v>
      </c>
      <c r="K211" s="1" t="s">
        <v>120</v>
      </c>
      <c r="L211" s="1" t="s">
        <v>121</v>
      </c>
      <c r="M211" s="1" t="s">
        <v>138</v>
      </c>
    </row>
    <row r="212" spans="1:13" ht="15" customHeight="1">
      <c r="A212" s="1" t="s">
        <v>343</v>
      </c>
      <c r="B212" s="4">
        <v>45664</v>
      </c>
      <c r="C212" s="1" t="s">
        <v>102</v>
      </c>
      <c r="D212" s="1" t="s">
        <v>132</v>
      </c>
      <c r="E212" s="1" t="s">
        <v>134</v>
      </c>
      <c r="F212" s="1" t="s">
        <v>126</v>
      </c>
      <c r="G212" s="1">
        <v>27.1</v>
      </c>
      <c r="H212" s="1">
        <v>2</v>
      </c>
      <c r="I212" s="1">
        <v>5</v>
      </c>
      <c r="J212" s="1">
        <v>85.5</v>
      </c>
      <c r="K212" s="1" t="s">
        <v>120</v>
      </c>
      <c r="L212" s="1" t="s">
        <v>121</v>
      </c>
      <c r="M212" s="1" t="s">
        <v>121</v>
      </c>
    </row>
    <row r="213" spans="1:13" ht="15" customHeight="1">
      <c r="A213" s="1" t="s">
        <v>344</v>
      </c>
      <c r="B213" s="4">
        <v>45804</v>
      </c>
      <c r="C213" s="1" t="s">
        <v>88</v>
      </c>
      <c r="D213" s="1" t="s">
        <v>132</v>
      </c>
      <c r="E213" s="1" t="s">
        <v>134</v>
      </c>
      <c r="F213" s="1" t="s">
        <v>126</v>
      </c>
      <c r="G213" s="1">
        <v>55.2</v>
      </c>
      <c r="H213" s="1">
        <v>18</v>
      </c>
      <c r="I213" s="1">
        <v>5</v>
      </c>
      <c r="J213" s="1">
        <v>96.9</v>
      </c>
      <c r="K213" s="1" t="s">
        <v>120</v>
      </c>
      <c r="L213" s="1" t="s">
        <v>121</v>
      </c>
      <c r="M213" s="1" t="s">
        <v>121</v>
      </c>
    </row>
    <row r="214" spans="1:13" ht="15" customHeight="1">
      <c r="A214" s="1" t="s">
        <v>345</v>
      </c>
      <c r="B214" s="4">
        <v>45711</v>
      </c>
      <c r="C214" s="1" t="s">
        <v>69</v>
      </c>
      <c r="D214" s="1" t="s">
        <v>125</v>
      </c>
      <c r="E214" s="1" t="s">
        <v>134</v>
      </c>
      <c r="F214" s="1" t="s">
        <v>126</v>
      </c>
      <c r="G214" s="1">
        <v>53.3</v>
      </c>
      <c r="H214" s="1">
        <v>58</v>
      </c>
      <c r="I214" s="1">
        <v>5</v>
      </c>
      <c r="J214" s="1">
        <v>93.6</v>
      </c>
      <c r="K214" s="1" t="s">
        <v>120</v>
      </c>
      <c r="L214" s="1" t="s">
        <v>121</v>
      </c>
      <c r="M214" s="1" t="s">
        <v>121</v>
      </c>
    </row>
    <row r="215" spans="1:13" ht="15" customHeight="1">
      <c r="A215" s="1" t="s">
        <v>346</v>
      </c>
      <c r="B215" s="4">
        <v>46000</v>
      </c>
      <c r="C215" s="1" t="s">
        <v>80</v>
      </c>
      <c r="D215" s="1" t="s">
        <v>132</v>
      </c>
      <c r="E215" s="1" t="s">
        <v>147</v>
      </c>
      <c r="F215" s="1" t="s">
        <v>128</v>
      </c>
      <c r="G215" s="1">
        <v>11.4</v>
      </c>
      <c r="H215" s="1">
        <v>45</v>
      </c>
      <c r="I215" s="1">
        <v>4</v>
      </c>
      <c r="J215" s="1">
        <v>85.8</v>
      </c>
      <c r="K215" s="1" t="s">
        <v>120</v>
      </c>
      <c r="L215" s="1" t="s">
        <v>121</v>
      </c>
      <c r="M215" s="1" t="s">
        <v>121</v>
      </c>
    </row>
    <row r="216" spans="1:13" ht="15" customHeight="1">
      <c r="A216" s="1" t="s">
        <v>347</v>
      </c>
      <c r="B216" s="4">
        <v>45844</v>
      </c>
      <c r="C216" s="1" t="s">
        <v>49</v>
      </c>
      <c r="D216" s="1" t="s">
        <v>117</v>
      </c>
      <c r="E216" s="1" t="s">
        <v>123</v>
      </c>
      <c r="F216" s="1" t="s">
        <v>126</v>
      </c>
      <c r="G216" s="1">
        <v>20</v>
      </c>
      <c r="H216" s="1">
        <v>47</v>
      </c>
      <c r="I216" s="1">
        <v>4</v>
      </c>
      <c r="J216" s="1">
        <v>88</v>
      </c>
      <c r="K216" s="1" t="s">
        <v>120</v>
      </c>
      <c r="L216" s="1" t="s">
        <v>121</v>
      </c>
      <c r="M216" s="1" t="s">
        <v>121</v>
      </c>
    </row>
    <row r="217" spans="1:13" ht="15" customHeight="1">
      <c r="A217" s="1" t="s">
        <v>348</v>
      </c>
      <c r="B217" s="4">
        <v>45899</v>
      </c>
      <c r="C217" s="1" t="s">
        <v>98</v>
      </c>
      <c r="D217" s="1" t="s">
        <v>125</v>
      </c>
      <c r="E217" s="1" t="s">
        <v>118</v>
      </c>
      <c r="F217" s="1" t="s">
        <v>126</v>
      </c>
      <c r="G217" s="1">
        <v>39.4</v>
      </c>
      <c r="H217" s="1">
        <v>52</v>
      </c>
      <c r="I217" s="1">
        <v>4</v>
      </c>
      <c r="J217" s="1">
        <v>100</v>
      </c>
      <c r="K217" s="1" t="s">
        <v>120</v>
      </c>
      <c r="L217" s="1" t="s">
        <v>121</v>
      </c>
      <c r="M217" s="1" t="s">
        <v>121</v>
      </c>
    </row>
    <row r="218" spans="1:13" ht="15" customHeight="1">
      <c r="A218" s="1" t="s">
        <v>349</v>
      </c>
      <c r="B218" s="4">
        <v>45919</v>
      </c>
      <c r="C218" s="1" t="s">
        <v>51</v>
      </c>
      <c r="D218" s="1" t="s">
        <v>132</v>
      </c>
      <c r="E218" s="1" t="s">
        <v>145</v>
      </c>
      <c r="F218" s="1" t="s">
        <v>126</v>
      </c>
      <c r="G218" s="1">
        <v>42.2</v>
      </c>
      <c r="H218" s="1">
        <v>35</v>
      </c>
      <c r="I218" s="1">
        <v>4</v>
      </c>
      <c r="J218" s="1">
        <v>84.7</v>
      </c>
      <c r="K218" s="1" t="s">
        <v>120</v>
      </c>
      <c r="L218" s="1" t="s">
        <v>121</v>
      </c>
      <c r="M218" s="1" t="s">
        <v>121</v>
      </c>
    </row>
    <row r="219" spans="1:13" ht="15" customHeight="1">
      <c r="A219" s="1" t="s">
        <v>350</v>
      </c>
      <c r="B219" s="4">
        <v>45702</v>
      </c>
      <c r="C219" s="1" t="s">
        <v>98</v>
      </c>
      <c r="D219" s="1" t="s">
        <v>132</v>
      </c>
      <c r="E219" s="1" t="s">
        <v>147</v>
      </c>
      <c r="F219" s="1" t="s">
        <v>126</v>
      </c>
      <c r="G219" s="1">
        <v>32.4</v>
      </c>
      <c r="H219" s="1">
        <v>29</v>
      </c>
      <c r="I219" s="1">
        <v>1</v>
      </c>
      <c r="J219" s="1">
        <v>99.8</v>
      </c>
      <c r="K219" s="1" t="s">
        <v>120</v>
      </c>
      <c r="L219" s="1" t="s">
        <v>138</v>
      </c>
      <c r="M219" s="1" t="s">
        <v>121</v>
      </c>
    </row>
    <row r="220" spans="1:13" ht="15" customHeight="1">
      <c r="A220" s="1" t="s">
        <v>351</v>
      </c>
      <c r="B220" s="4">
        <v>45961</v>
      </c>
      <c r="C220" s="1" t="s">
        <v>92</v>
      </c>
      <c r="D220" s="1" t="s">
        <v>132</v>
      </c>
      <c r="E220" s="1" t="s">
        <v>130</v>
      </c>
      <c r="F220" s="1" t="s">
        <v>126</v>
      </c>
      <c r="G220" s="1">
        <v>16.2</v>
      </c>
      <c r="H220" s="1">
        <v>28</v>
      </c>
      <c r="I220" s="1">
        <v>3</v>
      </c>
      <c r="J220" s="1">
        <v>86.1</v>
      </c>
      <c r="K220" s="1" t="s">
        <v>120</v>
      </c>
      <c r="L220" s="1" t="s">
        <v>121</v>
      </c>
      <c r="M220" s="1" t="s">
        <v>121</v>
      </c>
    </row>
    <row r="221" spans="1:13" ht="15" customHeight="1">
      <c r="A221" s="1" t="s">
        <v>352</v>
      </c>
      <c r="B221" s="4">
        <v>45743</v>
      </c>
      <c r="C221" s="1" t="s">
        <v>77</v>
      </c>
      <c r="D221" s="1" t="s">
        <v>117</v>
      </c>
      <c r="E221" s="1" t="s">
        <v>118</v>
      </c>
      <c r="F221" s="1" t="s">
        <v>128</v>
      </c>
      <c r="G221" s="1">
        <v>20</v>
      </c>
      <c r="H221" s="1">
        <v>65</v>
      </c>
      <c r="I221" s="1">
        <v>4</v>
      </c>
      <c r="J221" s="1">
        <v>81.8</v>
      </c>
      <c r="K221" s="1" t="s">
        <v>120</v>
      </c>
      <c r="L221" s="1" t="s">
        <v>121</v>
      </c>
      <c r="M221" s="1" t="s">
        <v>121</v>
      </c>
    </row>
    <row r="222" spans="1:13" ht="15" customHeight="1">
      <c r="A222" s="1" t="s">
        <v>353</v>
      </c>
      <c r="B222" s="4">
        <v>45812</v>
      </c>
      <c r="C222" s="1" t="s">
        <v>69</v>
      </c>
      <c r="D222" s="1" t="s">
        <v>125</v>
      </c>
      <c r="E222" s="1" t="s">
        <v>123</v>
      </c>
      <c r="F222" s="1" t="s">
        <v>119</v>
      </c>
      <c r="G222" s="1">
        <v>1.7</v>
      </c>
      <c r="H222" s="1">
        <v>13</v>
      </c>
      <c r="I222" s="1">
        <v>4</v>
      </c>
      <c r="J222" s="1">
        <v>85.1</v>
      </c>
      <c r="K222" s="1" t="s">
        <v>120</v>
      </c>
      <c r="L222" s="1" t="s">
        <v>121</v>
      </c>
      <c r="M222" s="1" t="s">
        <v>121</v>
      </c>
    </row>
    <row r="223" spans="1:13" ht="15" customHeight="1">
      <c r="A223" s="1" t="s">
        <v>354</v>
      </c>
      <c r="B223" s="4">
        <v>45686</v>
      </c>
      <c r="C223" s="1" t="s">
        <v>80</v>
      </c>
      <c r="D223" s="1" t="s">
        <v>132</v>
      </c>
      <c r="E223" s="1" t="s">
        <v>147</v>
      </c>
      <c r="F223" s="1" t="s">
        <v>128</v>
      </c>
      <c r="G223" s="1">
        <v>18.399999999999999</v>
      </c>
      <c r="H223" s="1">
        <v>64</v>
      </c>
      <c r="I223" s="1">
        <v>4</v>
      </c>
      <c r="J223" s="1">
        <v>79.8</v>
      </c>
      <c r="K223" s="1" t="s">
        <v>120</v>
      </c>
      <c r="L223" s="1" t="s">
        <v>121</v>
      </c>
      <c r="M223" s="1" t="s">
        <v>121</v>
      </c>
    </row>
    <row r="224" spans="1:13" ht="15" customHeight="1">
      <c r="A224" s="1" t="s">
        <v>355</v>
      </c>
      <c r="B224" s="4">
        <v>45906</v>
      </c>
      <c r="C224" s="1" t="s">
        <v>41</v>
      </c>
      <c r="D224" s="1" t="s">
        <v>125</v>
      </c>
      <c r="E224" s="1" t="s">
        <v>134</v>
      </c>
      <c r="F224" s="1" t="s">
        <v>126</v>
      </c>
      <c r="G224" s="1">
        <v>64.3</v>
      </c>
      <c r="H224" s="1">
        <v>20</v>
      </c>
      <c r="I224" s="1">
        <v>5</v>
      </c>
      <c r="J224" s="1">
        <v>72.3</v>
      </c>
      <c r="K224" s="1" t="s">
        <v>120</v>
      </c>
      <c r="L224" s="1" t="s">
        <v>121</v>
      </c>
      <c r="M224" s="1" t="s">
        <v>121</v>
      </c>
    </row>
    <row r="225" spans="1:13" ht="15" customHeight="1">
      <c r="A225" s="1" t="s">
        <v>356</v>
      </c>
      <c r="B225" s="4">
        <v>45820</v>
      </c>
      <c r="C225" s="1" t="s">
        <v>65</v>
      </c>
      <c r="D225" s="1" t="s">
        <v>125</v>
      </c>
      <c r="E225" s="1" t="s">
        <v>123</v>
      </c>
      <c r="F225" s="1" t="s">
        <v>128</v>
      </c>
      <c r="G225" s="1">
        <v>3.9</v>
      </c>
      <c r="H225" s="1">
        <v>41</v>
      </c>
      <c r="I225" s="1">
        <v>5</v>
      </c>
      <c r="J225" s="1">
        <v>100</v>
      </c>
      <c r="K225" s="1" t="s">
        <v>120</v>
      </c>
      <c r="L225" s="1" t="s">
        <v>121</v>
      </c>
      <c r="M225" s="1" t="s">
        <v>121</v>
      </c>
    </row>
    <row r="226" spans="1:13" ht="15" customHeight="1">
      <c r="A226" s="1" t="s">
        <v>357</v>
      </c>
      <c r="B226" s="4">
        <v>45949</v>
      </c>
      <c r="C226" s="1" t="s">
        <v>49</v>
      </c>
      <c r="D226" s="1" t="s">
        <v>132</v>
      </c>
      <c r="E226" s="1" t="s">
        <v>123</v>
      </c>
      <c r="F226" s="1" t="s">
        <v>119</v>
      </c>
      <c r="G226" s="1">
        <v>13.7</v>
      </c>
      <c r="H226" s="1">
        <v>43</v>
      </c>
      <c r="I226" s="1">
        <v>4</v>
      </c>
      <c r="J226" s="1">
        <v>89.9</v>
      </c>
      <c r="K226" s="1" t="s">
        <v>120</v>
      </c>
      <c r="L226" s="1" t="s">
        <v>121</v>
      </c>
      <c r="M226" s="1" t="s">
        <v>121</v>
      </c>
    </row>
    <row r="227" spans="1:13" ht="15" customHeight="1">
      <c r="A227" s="1" t="s">
        <v>358</v>
      </c>
      <c r="B227" s="4">
        <v>46012</v>
      </c>
      <c r="C227" s="1" t="s">
        <v>49</v>
      </c>
      <c r="D227" s="1" t="s">
        <v>125</v>
      </c>
      <c r="E227" s="1" t="s">
        <v>123</v>
      </c>
      <c r="F227" s="1" t="s">
        <v>119</v>
      </c>
      <c r="G227" s="1">
        <v>17.8</v>
      </c>
      <c r="H227" s="1">
        <v>47</v>
      </c>
      <c r="I227" s="1">
        <v>2</v>
      </c>
      <c r="J227" s="1">
        <v>95.5</v>
      </c>
      <c r="K227" s="1" t="s">
        <v>120</v>
      </c>
      <c r="L227" s="1" t="s">
        <v>121</v>
      </c>
      <c r="M227" s="1" t="s">
        <v>121</v>
      </c>
    </row>
    <row r="228" spans="1:13" ht="15" customHeight="1">
      <c r="A228" s="1" t="s">
        <v>359</v>
      </c>
      <c r="B228" s="4">
        <v>45881</v>
      </c>
      <c r="C228" s="1" t="s">
        <v>84</v>
      </c>
      <c r="D228" s="1" t="s">
        <v>125</v>
      </c>
      <c r="E228" s="1" t="s">
        <v>123</v>
      </c>
      <c r="F228" s="1" t="s">
        <v>126</v>
      </c>
      <c r="G228" s="1">
        <v>65.5</v>
      </c>
      <c r="H228" s="1">
        <v>66</v>
      </c>
      <c r="I228" s="1">
        <v>2</v>
      </c>
      <c r="J228" s="1">
        <v>92.7</v>
      </c>
      <c r="K228" s="1" t="s">
        <v>120</v>
      </c>
      <c r="L228" s="1" t="s">
        <v>138</v>
      </c>
      <c r="M228" s="1" t="s">
        <v>121</v>
      </c>
    </row>
    <row r="229" spans="1:13" ht="15" customHeight="1">
      <c r="A229" s="1" t="s">
        <v>360</v>
      </c>
      <c r="B229" s="4">
        <v>45906</v>
      </c>
      <c r="C229" s="1" t="s">
        <v>98</v>
      </c>
      <c r="D229" s="1" t="s">
        <v>117</v>
      </c>
      <c r="E229" s="1" t="s">
        <v>145</v>
      </c>
      <c r="F229" s="1" t="s">
        <v>126</v>
      </c>
      <c r="G229" s="1">
        <v>41.6</v>
      </c>
      <c r="H229" s="1">
        <v>36</v>
      </c>
      <c r="I229" s="1">
        <v>5</v>
      </c>
      <c r="J229" s="1">
        <v>73.5</v>
      </c>
      <c r="K229" s="1" t="s">
        <v>120</v>
      </c>
      <c r="L229" s="1" t="s">
        <v>121</v>
      </c>
      <c r="M229" s="1" t="s">
        <v>121</v>
      </c>
    </row>
    <row r="230" spans="1:13" ht="15" customHeight="1">
      <c r="A230" s="1" t="s">
        <v>361</v>
      </c>
      <c r="B230" s="4">
        <v>45808</v>
      </c>
      <c r="C230" s="1" t="s">
        <v>65</v>
      </c>
      <c r="D230" s="1" t="s">
        <v>132</v>
      </c>
      <c r="E230" s="1" t="s">
        <v>130</v>
      </c>
      <c r="F230" s="1" t="s">
        <v>128</v>
      </c>
      <c r="G230" s="1">
        <v>35</v>
      </c>
      <c r="H230" s="1">
        <v>32</v>
      </c>
      <c r="I230" s="1">
        <v>5</v>
      </c>
      <c r="J230" s="1">
        <v>95.3</v>
      </c>
      <c r="K230" s="1" t="s">
        <v>120</v>
      </c>
      <c r="L230" s="1" t="s">
        <v>121</v>
      </c>
      <c r="M230" s="1" t="s">
        <v>121</v>
      </c>
    </row>
    <row r="231" spans="1:13" ht="15" customHeight="1">
      <c r="A231" s="1" t="s">
        <v>362</v>
      </c>
      <c r="B231" s="4">
        <v>45966</v>
      </c>
      <c r="C231" s="1" t="s">
        <v>78</v>
      </c>
      <c r="D231" s="1" t="s">
        <v>132</v>
      </c>
      <c r="E231" s="1" t="s">
        <v>123</v>
      </c>
      <c r="F231" s="1" t="s">
        <v>128</v>
      </c>
      <c r="G231" s="1">
        <v>7.7</v>
      </c>
      <c r="H231" s="1">
        <v>39</v>
      </c>
      <c r="I231" s="1">
        <v>4</v>
      </c>
      <c r="J231" s="1">
        <v>91.6</v>
      </c>
      <c r="K231" s="1" t="s">
        <v>120</v>
      </c>
      <c r="L231" s="1" t="s">
        <v>121</v>
      </c>
      <c r="M231" s="1" t="s">
        <v>121</v>
      </c>
    </row>
    <row r="232" spans="1:13" ht="15" customHeight="1">
      <c r="A232" s="1" t="s">
        <v>363</v>
      </c>
      <c r="B232" s="4">
        <v>45713</v>
      </c>
      <c r="C232" s="1" t="s">
        <v>96</v>
      </c>
      <c r="D232" s="1" t="s">
        <v>117</v>
      </c>
      <c r="E232" s="1" t="s">
        <v>147</v>
      </c>
      <c r="F232" s="1" t="s">
        <v>128</v>
      </c>
      <c r="G232" s="1">
        <v>40.5</v>
      </c>
      <c r="H232" s="1">
        <v>26</v>
      </c>
      <c r="I232" s="1">
        <v>5</v>
      </c>
      <c r="J232" s="1">
        <v>85.8</v>
      </c>
      <c r="K232" s="1" t="s">
        <v>120</v>
      </c>
      <c r="L232" s="1" t="s">
        <v>121</v>
      </c>
      <c r="M232" s="1" t="s">
        <v>121</v>
      </c>
    </row>
    <row r="233" spans="1:13" ht="15" customHeight="1">
      <c r="A233" s="1" t="s">
        <v>364</v>
      </c>
      <c r="B233" s="4">
        <v>45983</v>
      </c>
      <c r="C233" s="1" t="s">
        <v>80</v>
      </c>
      <c r="D233" s="1" t="s">
        <v>132</v>
      </c>
      <c r="E233" s="1" t="s">
        <v>145</v>
      </c>
      <c r="F233" s="1" t="s">
        <v>128</v>
      </c>
      <c r="G233" s="1">
        <v>11.3</v>
      </c>
      <c r="H233" s="1">
        <v>27</v>
      </c>
      <c r="I233" s="1">
        <v>2</v>
      </c>
      <c r="J233" s="1">
        <v>74.8</v>
      </c>
      <c r="K233" s="1" t="s">
        <v>120</v>
      </c>
      <c r="L233" s="1" t="s">
        <v>121</v>
      </c>
      <c r="M233" s="1" t="s">
        <v>121</v>
      </c>
    </row>
    <row r="234" spans="1:13" ht="15" customHeight="1">
      <c r="A234" s="1" t="s">
        <v>365</v>
      </c>
      <c r="B234" s="4">
        <v>45837</v>
      </c>
      <c r="C234" s="1" t="s">
        <v>65</v>
      </c>
      <c r="D234" s="1" t="s">
        <v>125</v>
      </c>
      <c r="E234" s="1" t="s">
        <v>130</v>
      </c>
      <c r="F234" s="1" t="s">
        <v>126</v>
      </c>
      <c r="G234" s="1">
        <v>68.7</v>
      </c>
      <c r="H234" s="1">
        <v>23</v>
      </c>
      <c r="I234" s="1">
        <v>3</v>
      </c>
      <c r="J234" s="1">
        <v>92.6</v>
      </c>
      <c r="K234" s="1" t="s">
        <v>120</v>
      </c>
      <c r="L234" s="1" t="s">
        <v>121</v>
      </c>
      <c r="M234" s="1" t="s">
        <v>121</v>
      </c>
    </row>
    <row r="235" spans="1:13" ht="15" customHeight="1">
      <c r="A235" s="1" t="s">
        <v>366</v>
      </c>
      <c r="B235" s="4">
        <v>45930</v>
      </c>
      <c r="C235" s="1" t="s">
        <v>88</v>
      </c>
      <c r="D235" s="1" t="s">
        <v>117</v>
      </c>
      <c r="E235" s="1" t="s">
        <v>134</v>
      </c>
      <c r="F235" s="1" t="s">
        <v>126</v>
      </c>
      <c r="G235" s="1">
        <v>19.399999999999999</v>
      </c>
      <c r="H235" s="1">
        <v>37</v>
      </c>
      <c r="I235" s="1">
        <v>4</v>
      </c>
      <c r="J235" s="1">
        <v>94.6</v>
      </c>
      <c r="K235" s="1" t="s">
        <v>120</v>
      </c>
      <c r="L235" s="1" t="s">
        <v>121</v>
      </c>
      <c r="M235" s="1" t="s">
        <v>121</v>
      </c>
    </row>
    <row r="236" spans="1:13" ht="15" customHeight="1">
      <c r="A236" s="1" t="s">
        <v>367</v>
      </c>
      <c r="B236" s="4">
        <v>46011</v>
      </c>
      <c r="C236" s="1" t="s">
        <v>62</v>
      </c>
      <c r="D236" s="1" t="s">
        <v>117</v>
      </c>
      <c r="E236" s="1" t="s">
        <v>118</v>
      </c>
      <c r="F236" s="1" t="s">
        <v>128</v>
      </c>
      <c r="G236" s="1">
        <v>6.3</v>
      </c>
      <c r="H236" s="1">
        <v>36</v>
      </c>
      <c r="I236" s="1">
        <v>5</v>
      </c>
      <c r="J236" s="1">
        <v>89.3</v>
      </c>
      <c r="K236" s="1" t="s">
        <v>159</v>
      </c>
      <c r="L236" s="1" t="s">
        <v>121</v>
      </c>
      <c r="M236" s="1" t="s">
        <v>121</v>
      </c>
    </row>
    <row r="237" spans="1:13" ht="15" customHeight="1">
      <c r="A237" s="1" t="s">
        <v>368</v>
      </c>
      <c r="B237" s="4">
        <v>45799</v>
      </c>
      <c r="C237" s="1" t="s">
        <v>65</v>
      </c>
      <c r="D237" s="1" t="s">
        <v>132</v>
      </c>
      <c r="E237" s="1" t="s">
        <v>147</v>
      </c>
      <c r="F237" s="1" t="s">
        <v>128</v>
      </c>
      <c r="G237" s="1">
        <v>6.4</v>
      </c>
      <c r="H237" s="1">
        <v>44</v>
      </c>
      <c r="I237" s="1">
        <v>5</v>
      </c>
      <c r="J237" s="1">
        <v>78.8</v>
      </c>
      <c r="K237" s="1" t="s">
        <v>120</v>
      </c>
      <c r="L237" s="1" t="s">
        <v>121</v>
      </c>
      <c r="M237" s="1" t="s">
        <v>121</v>
      </c>
    </row>
    <row r="238" spans="1:13" ht="15" customHeight="1">
      <c r="A238" s="1" t="s">
        <v>369</v>
      </c>
      <c r="B238" s="4">
        <v>45671</v>
      </c>
      <c r="C238" s="1" t="s">
        <v>46</v>
      </c>
      <c r="D238" s="1" t="s">
        <v>125</v>
      </c>
      <c r="E238" s="1" t="s">
        <v>134</v>
      </c>
      <c r="F238" s="1" t="s">
        <v>135</v>
      </c>
      <c r="G238" s="1">
        <v>1.1000000000000001</v>
      </c>
      <c r="H238" s="1">
        <v>6</v>
      </c>
      <c r="I238" s="1">
        <v>5</v>
      </c>
      <c r="J238" s="1">
        <v>79.7</v>
      </c>
      <c r="K238" s="1" t="s">
        <v>120</v>
      </c>
      <c r="L238" s="1" t="s">
        <v>121</v>
      </c>
      <c r="M238" s="1" t="s">
        <v>121</v>
      </c>
    </row>
    <row r="239" spans="1:13" ht="15" customHeight="1">
      <c r="A239" s="1" t="s">
        <v>370</v>
      </c>
      <c r="B239" s="4">
        <v>45948</v>
      </c>
      <c r="C239" s="1" t="s">
        <v>67</v>
      </c>
      <c r="D239" s="1" t="s">
        <v>132</v>
      </c>
      <c r="E239" s="1" t="s">
        <v>134</v>
      </c>
      <c r="F239" s="1" t="s">
        <v>119</v>
      </c>
      <c r="G239" s="1">
        <v>10.199999999999999</v>
      </c>
      <c r="H239" s="1">
        <v>11</v>
      </c>
      <c r="I239" s="1">
        <v>4</v>
      </c>
      <c r="J239" s="1">
        <v>81.599999999999994</v>
      </c>
      <c r="K239" s="1" t="s">
        <v>120</v>
      </c>
      <c r="L239" s="1" t="s">
        <v>121</v>
      </c>
      <c r="M239" s="1" t="s">
        <v>121</v>
      </c>
    </row>
    <row r="240" spans="1:13" ht="15" customHeight="1">
      <c r="A240" s="1" t="s">
        <v>371</v>
      </c>
      <c r="B240" s="4">
        <v>45911</v>
      </c>
      <c r="C240" s="1" t="s">
        <v>67</v>
      </c>
      <c r="D240" s="1" t="s">
        <v>117</v>
      </c>
      <c r="E240" s="1" t="s">
        <v>123</v>
      </c>
      <c r="F240" s="1" t="s">
        <v>128</v>
      </c>
      <c r="G240" s="1">
        <v>16.600000000000001</v>
      </c>
      <c r="H240" s="1">
        <v>46</v>
      </c>
      <c r="I240" s="1">
        <v>3</v>
      </c>
      <c r="J240" s="1">
        <v>84.8</v>
      </c>
      <c r="K240" s="1" t="s">
        <v>120</v>
      </c>
      <c r="L240" s="1" t="s">
        <v>121</v>
      </c>
      <c r="M240" s="1" t="s">
        <v>121</v>
      </c>
    </row>
    <row r="241" spans="1:13" ht="15" customHeight="1">
      <c r="A241" s="1" t="s">
        <v>372</v>
      </c>
      <c r="B241" s="4">
        <v>45668</v>
      </c>
      <c r="C241" s="1" t="s">
        <v>92</v>
      </c>
      <c r="D241" s="1" t="s">
        <v>132</v>
      </c>
      <c r="E241" s="1" t="s">
        <v>130</v>
      </c>
      <c r="F241" s="1" t="s">
        <v>119</v>
      </c>
      <c r="G241" s="1">
        <v>20.8</v>
      </c>
      <c r="H241" s="1">
        <v>8</v>
      </c>
      <c r="I241" s="1">
        <v>2</v>
      </c>
      <c r="J241" s="1">
        <v>77.2</v>
      </c>
      <c r="K241" s="1" t="s">
        <v>120</v>
      </c>
      <c r="L241" s="1" t="s">
        <v>121</v>
      </c>
      <c r="M241" s="1" t="s">
        <v>121</v>
      </c>
    </row>
    <row r="242" spans="1:13" ht="15" customHeight="1">
      <c r="A242" s="1" t="s">
        <v>373</v>
      </c>
      <c r="B242" s="4">
        <v>45738</v>
      </c>
      <c r="C242" s="1" t="s">
        <v>90</v>
      </c>
      <c r="D242" s="1" t="s">
        <v>117</v>
      </c>
      <c r="E242" s="1" t="s">
        <v>130</v>
      </c>
      <c r="F242" s="1" t="s">
        <v>126</v>
      </c>
      <c r="G242" s="1">
        <v>31.2</v>
      </c>
      <c r="H242" s="1">
        <v>30</v>
      </c>
      <c r="I242" s="1">
        <v>3</v>
      </c>
      <c r="J242" s="1">
        <v>83.1</v>
      </c>
      <c r="K242" s="1" t="s">
        <v>120</v>
      </c>
      <c r="L242" s="1" t="s">
        <v>138</v>
      </c>
      <c r="M242" s="1" t="s">
        <v>121</v>
      </c>
    </row>
    <row r="243" spans="1:13" ht="15" customHeight="1">
      <c r="A243" s="1" t="s">
        <v>374</v>
      </c>
      <c r="B243" s="4">
        <v>45923</v>
      </c>
      <c r="C243" s="1" t="s">
        <v>69</v>
      </c>
      <c r="D243" s="1" t="s">
        <v>132</v>
      </c>
      <c r="E243" s="1" t="s">
        <v>134</v>
      </c>
      <c r="F243" s="1" t="s">
        <v>128</v>
      </c>
      <c r="G243" s="1">
        <v>20.2</v>
      </c>
      <c r="H243" s="1">
        <v>20</v>
      </c>
      <c r="I243" s="1">
        <v>5</v>
      </c>
      <c r="J243" s="1">
        <v>84.3</v>
      </c>
      <c r="K243" s="1" t="s">
        <v>120</v>
      </c>
      <c r="L243" s="1" t="s">
        <v>121</v>
      </c>
      <c r="M243" s="1" t="s">
        <v>121</v>
      </c>
    </row>
    <row r="244" spans="1:13" ht="15" customHeight="1">
      <c r="A244" s="1" t="s">
        <v>375</v>
      </c>
      <c r="B244" s="4">
        <v>45710</v>
      </c>
      <c r="C244" s="1" t="s">
        <v>88</v>
      </c>
      <c r="D244" s="1" t="s">
        <v>132</v>
      </c>
      <c r="E244" s="1" t="s">
        <v>118</v>
      </c>
      <c r="F244" s="1" t="s">
        <v>126</v>
      </c>
      <c r="G244" s="1">
        <v>83</v>
      </c>
      <c r="H244" s="1">
        <v>45</v>
      </c>
      <c r="I244" s="1">
        <v>5</v>
      </c>
      <c r="J244" s="1">
        <v>77.900000000000006</v>
      </c>
      <c r="K244" s="1" t="s">
        <v>120</v>
      </c>
      <c r="L244" s="1" t="s">
        <v>121</v>
      </c>
      <c r="M244" s="1" t="s">
        <v>121</v>
      </c>
    </row>
    <row r="245" spans="1:13" ht="15" customHeight="1">
      <c r="A245" s="1" t="s">
        <v>376</v>
      </c>
      <c r="B245" s="4">
        <v>45860</v>
      </c>
      <c r="C245" s="1" t="s">
        <v>100</v>
      </c>
      <c r="D245" s="1" t="s">
        <v>132</v>
      </c>
      <c r="E245" s="1" t="s">
        <v>130</v>
      </c>
      <c r="F245" s="1" t="s">
        <v>128</v>
      </c>
      <c r="G245" s="1">
        <v>0.5</v>
      </c>
      <c r="H245" s="1">
        <v>27</v>
      </c>
      <c r="I245" s="1">
        <v>5</v>
      </c>
      <c r="J245" s="1">
        <v>72.2</v>
      </c>
      <c r="K245" s="1" t="s">
        <v>120</v>
      </c>
      <c r="L245" s="1" t="s">
        <v>121</v>
      </c>
      <c r="M245" s="1" t="s">
        <v>121</v>
      </c>
    </row>
    <row r="246" spans="1:13" ht="15" customHeight="1">
      <c r="A246" s="1" t="s">
        <v>377</v>
      </c>
      <c r="B246" s="4">
        <v>45867</v>
      </c>
      <c r="C246" s="1" t="s">
        <v>78</v>
      </c>
      <c r="D246" s="1" t="s">
        <v>132</v>
      </c>
      <c r="E246" s="1" t="s">
        <v>123</v>
      </c>
      <c r="F246" s="1" t="s">
        <v>119</v>
      </c>
      <c r="G246" s="1">
        <v>18.2</v>
      </c>
      <c r="H246" s="1">
        <v>18</v>
      </c>
      <c r="I246" s="1">
        <v>1</v>
      </c>
      <c r="J246" s="1">
        <v>89.1</v>
      </c>
      <c r="K246" s="1" t="s">
        <v>120</v>
      </c>
      <c r="L246" s="1" t="s">
        <v>121</v>
      </c>
      <c r="M246" s="1" t="s">
        <v>121</v>
      </c>
    </row>
    <row r="247" spans="1:13" ht="15" customHeight="1">
      <c r="A247" s="1" t="s">
        <v>378</v>
      </c>
      <c r="B247" s="4">
        <v>45851</v>
      </c>
      <c r="C247" s="1" t="s">
        <v>102</v>
      </c>
      <c r="D247" s="1" t="s">
        <v>117</v>
      </c>
      <c r="E247" s="1" t="s">
        <v>145</v>
      </c>
      <c r="F247" s="1" t="s">
        <v>128</v>
      </c>
      <c r="G247" s="1">
        <v>51.5</v>
      </c>
      <c r="H247" s="1">
        <v>63</v>
      </c>
      <c r="I247" s="1">
        <v>5</v>
      </c>
      <c r="J247" s="1">
        <v>87.1</v>
      </c>
      <c r="K247" s="1" t="s">
        <v>120</v>
      </c>
      <c r="L247" s="1" t="s">
        <v>121</v>
      </c>
      <c r="M247" s="1" t="s">
        <v>121</v>
      </c>
    </row>
    <row r="248" spans="1:13" ht="15" customHeight="1">
      <c r="A248" s="1" t="s">
        <v>379</v>
      </c>
      <c r="B248" s="4">
        <v>46011</v>
      </c>
      <c r="C248" s="1" t="s">
        <v>88</v>
      </c>
      <c r="D248" s="1" t="s">
        <v>117</v>
      </c>
      <c r="E248" s="1" t="s">
        <v>134</v>
      </c>
      <c r="F248" s="1" t="s">
        <v>119</v>
      </c>
      <c r="G248" s="1">
        <v>5.4</v>
      </c>
      <c r="H248" s="1">
        <v>1</v>
      </c>
      <c r="I248" s="1">
        <v>5</v>
      </c>
      <c r="J248" s="1">
        <v>84</v>
      </c>
      <c r="K248" s="1" t="s">
        <v>120</v>
      </c>
      <c r="L248" s="1" t="s">
        <v>121</v>
      </c>
      <c r="M248" s="1" t="s">
        <v>121</v>
      </c>
    </row>
    <row r="249" spans="1:13" ht="15" customHeight="1">
      <c r="A249" s="1" t="s">
        <v>380</v>
      </c>
      <c r="B249" s="4">
        <v>45863</v>
      </c>
      <c r="C249" s="1" t="s">
        <v>67</v>
      </c>
      <c r="D249" s="1" t="s">
        <v>117</v>
      </c>
      <c r="E249" s="1" t="s">
        <v>134</v>
      </c>
      <c r="F249" s="1" t="s">
        <v>128</v>
      </c>
      <c r="G249" s="1">
        <v>18</v>
      </c>
      <c r="H249" s="1">
        <v>25</v>
      </c>
      <c r="I249" s="1">
        <v>4</v>
      </c>
      <c r="J249" s="1">
        <v>89.5</v>
      </c>
      <c r="K249" s="1" t="s">
        <v>120</v>
      </c>
      <c r="L249" s="1" t="s">
        <v>121</v>
      </c>
      <c r="M249" s="1" t="s">
        <v>138</v>
      </c>
    </row>
    <row r="250" spans="1:13" ht="15" customHeight="1">
      <c r="A250" s="1" t="s">
        <v>381</v>
      </c>
      <c r="B250" s="4">
        <v>45730</v>
      </c>
      <c r="C250" s="1" t="s">
        <v>80</v>
      </c>
      <c r="D250" s="1" t="s">
        <v>125</v>
      </c>
      <c r="E250" s="1" t="s">
        <v>130</v>
      </c>
      <c r="F250" s="1" t="s">
        <v>135</v>
      </c>
      <c r="G250" s="1">
        <v>4.9000000000000004</v>
      </c>
      <c r="H250" s="1">
        <v>6</v>
      </c>
      <c r="I250" s="1">
        <v>5</v>
      </c>
      <c r="J250" s="1">
        <v>86.7</v>
      </c>
      <c r="K250" s="1" t="s">
        <v>120</v>
      </c>
      <c r="L250" s="1" t="s">
        <v>121</v>
      </c>
      <c r="M250" s="1" t="s">
        <v>121</v>
      </c>
    </row>
    <row r="251" spans="1:13" ht="15" customHeight="1">
      <c r="A251" s="1" t="s">
        <v>382</v>
      </c>
      <c r="B251" s="4">
        <v>45874</v>
      </c>
      <c r="C251" s="1" t="s">
        <v>67</v>
      </c>
      <c r="D251" s="1" t="s">
        <v>125</v>
      </c>
      <c r="E251" s="1" t="s">
        <v>130</v>
      </c>
      <c r="F251" s="1" t="s">
        <v>119</v>
      </c>
      <c r="G251" s="1">
        <v>11.8</v>
      </c>
      <c r="H251" s="1">
        <v>29</v>
      </c>
      <c r="I251" s="1">
        <v>4</v>
      </c>
      <c r="J251" s="1">
        <v>87.8</v>
      </c>
      <c r="K251" s="1" t="s">
        <v>120</v>
      </c>
      <c r="L251" s="1" t="s">
        <v>121</v>
      </c>
      <c r="M251" s="1" t="s">
        <v>121</v>
      </c>
    </row>
    <row r="252" spans="1:13" ht="15" customHeight="1">
      <c r="A252" s="1" t="s">
        <v>383</v>
      </c>
      <c r="B252" s="4">
        <v>45968</v>
      </c>
      <c r="C252" s="1" t="s">
        <v>73</v>
      </c>
      <c r="D252" s="1" t="s">
        <v>132</v>
      </c>
      <c r="E252" s="1" t="s">
        <v>147</v>
      </c>
      <c r="F252" s="1" t="s">
        <v>126</v>
      </c>
      <c r="G252" s="1">
        <v>5.2</v>
      </c>
      <c r="H252" s="1">
        <v>70</v>
      </c>
      <c r="I252" s="1">
        <v>4</v>
      </c>
      <c r="J252" s="1">
        <v>77.2</v>
      </c>
      <c r="K252" s="1" t="s">
        <v>120</v>
      </c>
      <c r="L252" s="1" t="s">
        <v>121</v>
      </c>
      <c r="M252" s="1" t="s">
        <v>121</v>
      </c>
    </row>
    <row r="253" spans="1:13" ht="15" customHeight="1">
      <c r="A253" s="1" t="s">
        <v>384</v>
      </c>
      <c r="B253" s="4">
        <v>45867</v>
      </c>
      <c r="C253" s="1" t="s">
        <v>102</v>
      </c>
      <c r="D253" s="1" t="s">
        <v>117</v>
      </c>
      <c r="E253" s="1" t="s">
        <v>130</v>
      </c>
      <c r="F253" s="1" t="s">
        <v>128</v>
      </c>
      <c r="G253" s="1">
        <v>12.5</v>
      </c>
      <c r="H253" s="1">
        <v>42</v>
      </c>
      <c r="I253" s="1">
        <v>4</v>
      </c>
      <c r="J253" s="1">
        <v>78.599999999999994</v>
      </c>
      <c r="K253" s="1" t="s">
        <v>120</v>
      </c>
      <c r="L253" s="1" t="s">
        <v>138</v>
      </c>
      <c r="M253" s="1" t="s">
        <v>121</v>
      </c>
    </row>
    <row r="254" spans="1:13" ht="15" customHeight="1">
      <c r="A254" s="1" t="s">
        <v>385</v>
      </c>
      <c r="B254" s="4">
        <v>45769</v>
      </c>
      <c r="C254" s="1" t="s">
        <v>41</v>
      </c>
      <c r="D254" s="1" t="s">
        <v>117</v>
      </c>
      <c r="E254" s="1" t="s">
        <v>147</v>
      </c>
      <c r="F254" s="1" t="s">
        <v>128</v>
      </c>
      <c r="G254" s="1">
        <v>20.6</v>
      </c>
      <c r="H254" s="1">
        <v>37</v>
      </c>
      <c r="I254" s="1">
        <v>4</v>
      </c>
      <c r="J254" s="1">
        <v>96.7</v>
      </c>
      <c r="K254" s="1" t="s">
        <v>120</v>
      </c>
      <c r="L254" s="1" t="s">
        <v>121</v>
      </c>
      <c r="M254" s="1" t="s">
        <v>121</v>
      </c>
    </row>
    <row r="255" spans="1:13" ht="15" customHeight="1">
      <c r="A255" s="1" t="s">
        <v>386</v>
      </c>
      <c r="B255" s="4">
        <v>45703</v>
      </c>
      <c r="C255" s="1" t="s">
        <v>88</v>
      </c>
      <c r="D255" s="1" t="s">
        <v>117</v>
      </c>
      <c r="E255" s="1" t="s">
        <v>130</v>
      </c>
      <c r="F255" s="1" t="s">
        <v>128</v>
      </c>
      <c r="G255" s="1">
        <v>14.9</v>
      </c>
      <c r="H255" s="1">
        <v>46</v>
      </c>
      <c r="I255" s="1">
        <v>4</v>
      </c>
      <c r="J255" s="1">
        <v>87.3</v>
      </c>
      <c r="K255" s="1" t="s">
        <v>120</v>
      </c>
      <c r="L255" s="1" t="s">
        <v>121</v>
      </c>
      <c r="M255" s="1" t="s">
        <v>121</v>
      </c>
    </row>
    <row r="256" spans="1:13" ht="15" customHeight="1">
      <c r="A256" s="1" t="s">
        <v>387</v>
      </c>
      <c r="B256" s="4">
        <v>46022</v>
      </c>
      <c r="C256" s="1" t="s">
        <v>92</v>
      </c>
      <c r="D256" s="1" t="s">
        <v>125</v>
      </c>
      <c r="E256" s="1" t="s">
        <v>145</v>
      </c>
      <c r="F256" s="1" t="s">
        <v>128</v>
      </c>
      <c r="G256" s="1">
        <v>30.7</v>
      </c>
      <c r="H256" s="1">
        <v>48</v>
      </c>
      <c r="I256" s="1">
        <v>4</v>
      </c>
      <c r="J256" s="1">
        <v>86.4</v>
      </c>
      <c r="K256" s="1" t="s">
        <v>120</v>
      </c>
      <c r="L256" s="1" t="s">
        <v>121</v>
      </c>
      <c r="M256" s="1" t="s">
        <v>121</v>
      </c>
    </row>
    <row r="257" spans="1:13" ht="15" customHeight="1">
      <c r="A257" s="1" t="s">
        <v>388</v>
      </c>
      <c r="B257" s="4">
        <v>45967</v>
      </c>
      <c r="C257" s="1" t="s">
        <v>54</v>
      </c>
      <c r="D257" s="1" t="s">
        <v>132</v>
      </c>
      <c r="E257" s="1" t="s">
        <v>134</v>
      </c>
      <c r="F257" s="1" t="s">
        <v>126</v>
      </c>
      <c r="G257" s="1">
        <v>43</v>
      </c>
      <c r="H257" s="1">
        <v>30</v>
      </c>
      <c r="I257" s="1">
        <v>4</v>
      </c>
      <c r="J257" s="1">
        <v>83.3</v>
      </c>
      <c r="K257" s="1" t="s">
        <v>120</v>
      </c>
      <c r="L257" s="1" t="s">
        <v>121</v>
      </c>
      <c r="M257" s="1" t="s">
        <v>121</v>
      </c>
    </row>
    <row r="258" spans="1:13" ht="15" customHeight="1">
      <c r="A258" s="1" t="s">
        <v>389</v>
      </c>
      <c r="B258" s="4">
        <v>45720</v>
      </c>
      <c r="C258" s="1" t="s">
        <v>73</v>
      </c>
      <c r="D258" s="1" t="s">
        <v>125</v>
      </c>
      <c r="E258" s="1" t="s">
        <v>123</v>
      </c>
      <c r="F258" s="1" t="s">
        <v>126</v>
      </c>
      <c r="G258" s="1">
        <v>24.9</v>
      </c>
      <c r="H258" s="1">
        <v>39</v>
      </c>
      <c r="I258" s="1">
        <v>4</v>
      </c>
      <c r="J258" s="1">
        <v>100</v>
      </c>
      <c r="K258" s="1" t="s">
        <v>120</v>
      </c>
      <c r="L258" s="1" t="s">
        <v>121</v>
      </c>
      <c r="M258" s="1" t="s">
        <v>121</v>
      </c>
    </row>
    <row r="259" spans="1:13" ht="15" customHeight="1">
      <c r="A259" s="1" t="s">
        <v>390</v>
      </c>
      <c r="B259" s="4">
        <v>45696</v>
      </c>
      <c r="C259" s="1" t="s">
        <v>56</v>
      </c>
      <c r="D259" s="1" t="s">
        <v>132</v>
      </c>
      <c r="E259" s="1" t="s">
        <v>134</v>
      </c>
      <c r="F259" s="1" t="s">
        <v>128</v>
      </c>
      <c r="G259" s="1">
        <v>16.8</v>
      </c>
      <c r="H259" s="1">
        <v>45</v>
      </c>
      <c r="I259" s="1">
        <v>5</v>
      </c>
      <c r="J259" s="1">
        <v>69.400000000000006</v>
      </c>
      <c r="K259" s="1" t="s">
        <v>120</v>
      </c>
      <c r="L259" s="1" t="s">
        <v>121</v>
      </c>
      <c r="M259" s="1" t="s">
        <v>121</v>
      </c>
    </row>
    <row r="260" spans="1:13" ht="15" customHeight="1">
      <c r="A260" s="1" t="s">
        <v>391</v>
      </c>
      <c r="B260" s="4">
        <v>45862</v>
      </c>
      <c r="C260" s="1" t="s">
        <v>75</v>
      </c>
      <c r="D260" s="1" t="s">
        <v>132</v>
      </c>
      <c r="E260" s="1" t="s">
        <v>134</v>
      </c>
      <c r="F260" s="1" t="s">
        <v>126</v>
      </c>
      <c r="G260" s="1">
        <v>74.5</v>
      </c>
      <c r="H260" s="1">
        <v>11</v>
      </c>
      <c r="I260" s="1">
        <v>5</v>
      </c>
      <c r="J260" s="1">
        <v>82.9</v>
      </c>
      <c r="K260" s="1" t="s">
        <v>120</v>
      </c>
      <c r="L260" s="1" t="s">
        <v>121</v>
      </c>
      <c r="M260" s="1" t="s">
        <v>121</v>
      </c>
    </row>
    <row r="261" spans="1:13" ht="15" customHeight="1">
      <c r="A261" s="1" t="s">
        <v>392</v>
      </c>
      <c r="B261" s="4">
        <v>45725</v>
      </c>
      <c r="C261" s="1" t="s">
        <v>65</v>
      </c>
      <c r="D261" s="1" t="s">
        <v>125</v>
      </c>
      <c r="E261" s="1" t="s">
        <v>118</v>
      </c>
      <c r="F261" s="1" t="s">
        <v>126</v>
      </c>
      <c r="G261" s="1">
        <v>23.4</v>
      </c>
      <c r="H261" s="1">
        <v>31</v>
      </c>
      <c r="I261" s="1">
        <v>4</v>
      </c>
      <c r="J261" s="1">
        <v>93.6</v>
      </c>
      <c r="K261" s="1" t="s">
        <v>120</v>
      </c>
      <c r="L261" s="1" t="s">
        <v>121</v>
      </c>
      <c r="M261" s="1" t="s">
        <v>121</v>
      </c>
    </row>
    <row r="262" spans="1:13" ht="15" customHeight="1">
      <c r="A262" s="1" t="s">
        <v>393</v>
      </c>
      <c r="B262" s="4">
        <v>45994</v>
      </c>
      <c r="C262" s="1" t="s">
        <v>86</v>
      </c>
      <c r="D262" s="1" t="s">
        <v>117</v>
      </c>
      <c r="E262" s="1" t="s">
        <v>145</v>
      </c>
      <c r="F262" s="1" t="s">
        <v>126</v>
      </c>
      <c r="G262" s="1">
        <v>35.5</v>
      </c>
      <c r="H262" s="1">
        <v>72</v>
      </c>
      <c r="I262" s="1">
        <v>4</v>
      </c>
      <c r="J262" s="1">
        <v>98.5</v>
      </c>
      <c r="K262" s="1" t="s">
        <v>120</v>
      </c>
      <c r="L262" s="1" t="s">
        <v>121</v>
      </c>
      <c r="M262" s="1" t="s">
        <v>121</v>
      </c>
    </row>
    <row r="263" spans="1:13" ht="15" customHeight="1">
      <c r="A263" s="1" t="s">
        <v>394</v>
      </c>
      <c r="B263" s="4">
        <v>45718</v>
      </c>
      <c r="C263" s="1" t="s">
        <v>51</v>
      </c>
      <c r="D263" s="1" t="s">
        <v>125</v>
      </c>
      <c r="E263" s="1" t="s">
        <v>145</v>
      </c>
      <c r="F263" s="1" t="s">
        <v>126</v>
      </c>
      <c r="G263" s="1">
        <v>6.8</v>
      </c>
      <c r="H263" s="1">
        <v>28</v>
      </c>
      <c r="I263" s="1">
        <v>4</v>
      </c>
      <c r="J263" s="1">
        <v>77.7</v>
      </c>
      <c r="K263" s="1" t="s">
        <v>120</v>
      </c>
      <c r="L263" s="1" t="s">
        <v>121</v>
      </c>
      <c r="M263" s="1" t="s">
        <v>121</v>
      </c>
    </row>
    <row r="264" spans="1:13" ht="15" customHeight="1">
      <c r="A264" s="1" t="s">
        <v>395</v>
      </c>
      <c r="B264" s="4">
        <v>45925</v>
      </c>
      <c r="C264" s="1" t="s">
        <v>62</v>
      </c>
      <c r="D264" s="1" t="s">
        <v>125</v>
      </c>
      <c r="E264" s="1" t="s">
        <v>134</v>
      </c>
      <c r="F264" s="1" t="s">
        <v>126</v>
      </c>
      <c r="G264" s="1">
        <v>55.8</v>
      </c>
      <c r="H264" s="1">
        <v>20</v>
      </c>
      <c r="I264" s="1">
        <v>3</v>
      </c>
      <c r="J264" s="1">
        <v>81.5</v>
      </c>
      <c r="K264" s="1" t="s">
        <v>120</v>
      </c>
      <c r="L264" s="1" t="s">
        <v>138</v>
      </c>
      <c r="M264" s="1" t="s">
        <v>121</v>
      </c>
    </row>
    <row r="265" spans="1:13" ht="15" customHeight="1">
      <c r="A265" s="1" t="s">
        <v>396</v>
      </c>
      <c r="B265" s="4">
        <v>45688</v>
      </c>
      <c r="C265" s="1" t="s">
        <v>102</v>
      </c>
      <c r="D265" s="1" t="s">
        <v>125</v>
      </c>
      <c r="E265" s="1" t="s">
        <v>147</v>
      </c>
      <c r="F265" s="1" t="s">
        <v>126</v>
      </c>
      <c r="G265" s="1">
        <v>57.2</v>
      </c>
      <c r="H265" s="1">
        <v>44</v>
      </c>
      <c r="I265" s="1">
        <v>4</v>
      </c>
      <c r="J265" s="1">
        <v>96.4</v>
      </c>
      <c r="K265" s="1" t="s">
        <v>120</v>
      </c>
      <c r="L265" s="1" t="s">
        <v>121</v>
      </c>
      <c r="M265" s="1" t="s">
        <v>121</v>
      </c>
    </row>
    <row r="266" spans="1:13" ht="15" customHeight="1">
      <c r="A266" s="1" t="s">
        <v>397</v>
      </c>
      <c r="B266" s="4">
        <v>45677</v>
      </c>
      <c r="C266" s="1" t="s">
        <v>77</v>
      </c>
      <c r="D266" s="1" t="s">
        <v>117</v>
      </c>
      <c r="E266" s="1" t="s">
        <v>134</v>
      </c>
      <c r="F266" s="1" t="s">
        <v>128</v>
      </c>
      <c r="G266" s="1">
        <v>12.9</v>
      </c>
      <c r="H266" s="1">
        <v>49</v>
      </c>
      <c r="I266" s="1">
        <v>3</v>
      </c>
      <c r="J266" s="1">
        <v>88.3</v>
      </c>
      <c r="K266" s="1" t="s">
        <v>120</v>
      </c>
      <c r="L266" s="1" t="s">
        <v>121</v>
      </c>
      <c r="M266" s="1" t="s">
        <v>121</v>
      </c>
    </row>
    <row r="267" spans="1:13" ht="15" customHeight="1">
      <c r="A267" s="1" t="s">
        <v>398</v>
      </c>
      <c r="B267" s="4">
        <v>45914</v>
      </c>
      <c r="C267" s="1" t="s">
        <v>73</v>
      </c>
      <c r="D267" s="1" t="s">
        <v>117</v>
      </c>
      <c r="E267" s="1" t="s">
        <v>134</v>
      </c>
      <c r="F267" s="1" t="s">
        <v>126</v>
      </c>
      <c r="G267" s="1">
        <v>34.299999999999997</v>
      </c>
      <c r="H267" s="1">
        <v>15</v>
      </c>
      <c r="I267" s="1">
        <v>3</v>
      </c>
      <c r="J267" s="1">
        <v>85.2</v>
      </c>
      <c r="K267" s="1" t="s">
        <v>120</v>
      </c>
      <c r="L267" s="1" t="s">
        <v>121</v>
      </c>
      <c r="M267" s="1" t="s">
        <v>121</v>
      </c>
    </row>
    <row r="268" spans="1:13" ht="15" customHeight="1">
      <c r="A268" s="1" t="s">
        <v>399</v>
      </c>
      <c r="B268" s="4">
        <v>45909</v>
      </c>
      <c r="C268" s="1" t="s">
        <v>90</v>
      </c>
      <c r="D268" s="1" t="s">
        <v>117</v>
      </c>
      <c r="E268" s="1" t="s">
        <v>123</v>
      </c>
      <c r="F268" s="1" t="s">
        <v>126</v>
      </c>
      <c r="G268" s="1">
        <v>45</v>
      </c>
      <c r="H268" s="1">
        <v>81</v>
      </c>
      <c r="I268" s="1">
        <v>4</v>
      </c>
      <c r="J268" s="1">
        <v>87.2</v>
      </c>
      <c r="K268" s="1" t="s">
        <v>120</v>
      </c>
      <c r="L268" s="1" t="s">
        <v>121</v>
      </c>
      <c r="M268" s="1" t="s">
        <v>121</v>
      </c>
    </row>
    <row r="269" spans="1:13" ht="15" customHeight="1">
      <c r="A269" s="1" t="s">
        <v>400</v>
      </c>
      <c r="B269" s="4">
        <v>45904</v>
      </c>
      <c r="C269" s="1" t="s">
        <v>77</v>
      </c>
      <c r="D269" s="1" t="s">
        <v>132</v>
      </c>
      <c r="E269" s="1" t="s">
        <v>147</v>
      </c>
      <c r="F269" s="1" t="s">
        <v>119</v>
      </c>
      <c r="G269" s="1">
        <v>7.3</v>
      </c>
      <c r="H269" s="1">
        <v>1</v>
      </c>
      <c r="I269" s="1">
        <v>5</v>
      </c>
      <c r="J269" s="1">
        <v>80.5</v>
      </c>
      <c r="K269" s="1" t="s">
        <v>120</v>
      </c>
      <c r="L269" s="1" t="s">
        <v>121</v>
      </c>
      <c r="M269" s="1" t="s">
        <v>121</v>
      </c>
    </row>
    <row r="270" spans="1:13" ht="15" customHeight="1">
      <c r="A270" s="1" t="s">
        <v>401</v>
      </c>
      <c r="B270" s="4">
        <v>45678</v>
      </c>
      <c r="C270" s="1" t="s">
        <v>73</v>
      </c>
      <c r="D270" s="1" t="s">
        <v>117</v>
      </c>
      <c r="E270" s="1" t="s">
        <v>118</v>
      </c>
      <c r="F270" s="1" t="s">
        <v>126</v>
      </c>
      <c r="G270" s="1">
        <v>56.7</v>
      </c>
      <c r="H270" s="1">
        <v>32</v>
      </c>
      <c r="I270" s="1">
        <v>4</v>
      </c>
      <c r="J270" s="1">
        <v>82.3</v>
      </c>
      <c r="K270" s="1" t="s">
        <v>120</v>
      </c>
      <c r="L270" s="1" t="s">
        <v>121</v>
      </c>
      <c r="M270" s="1" t="s">
        <v>121</v>
      </c>
    </row>
    <row r="271" spans="1:13" ht="15" customHeight="1">
      <c r="A271" s="1" t="s">
        <v>402</v>
      </c>
      <c r="B271" s="4">
        <v>45980</v>
      </c>
      <c r="C271" s="1" t="s">
        <v>96</v>
      </c>
      <c r="D271" s="1" t="s">
        <v>117</v>
      </c>
      <c r="E271" s="1" t="s">
        <v>145</v>
      </c>
      <c r="F271" s="1" t="s">
        <v>119</v>
      </c>
      <c r="G271" s="1">
        <v>11.3</v>
      </c>
      <c r="H271" s="1">
        <v>61</v>
      </c>
      <c r="I271" s="1">
        <v>3</v>
      </c>
      <c r="J271" s="1">
        <v>80.7</v>
      </c>
      <c r="K271" s="1" t="s">
        <v>120</v>
      </c>
      <c r="L271" s="1" t="s">
        <v>121</v>
      </c>
      <c r="M271" s="1" t="s">
        <v>138</v>
      </c>
    </row>
    <row r="272" spans="1:13" ht="15" customHeight="1">
      <c r="A272" s="1" t="s">
        <v>403</v>
      </c>
      <c r="B272" s="4">
        <v>45886</v>
      </c>
      <c r="C272" s="1" t="s">
        <v>60</v>
      </c>
      <c r="D272" s="1" t="s">
        <v>132</v>
      </c>
      <c r="E272" s="1" t="s">
        <v>130</v>
      </c>
      <c r="F272" s="1" t="s">
        <v>128</v>
      </c>
      <c r="G272" s="1">
        <v>24.3</v>
      </c>
      <c r="H272" s="1">
        <v>60</v>
      </c>
      <c r="I272" s="1">
        <v>5</v>
      </c>
      <c r="J272" s="1">
        <v>86.5</v>
      </c>
      <c r="K272" s="1" t="s">
        <v>120</v>
      </c>
      <c r="L272" s="1" t="s">
        <v>121</v>
      </c>
      <c r="M272" s="1" t="s">
        <v>121</v>
      </c>
    </row>
    <row r="273" spans="1:13" ht="15" customHeight="1">
      <c r="A273" s="1" t="s">
        <v>404</v>
      </c>
      <c r="B273" s="4">
        <v>45911</v>
      </c>
      <c r="C273" s="1" t="s">
        <v>80</v>
      </c>
      <c r="D273" s="1" t="s">
        <v>125</v>
      </c>
      <c r="E273" s="1" t="s">
        <v>130</v>
      </c>
      <c r="F273" s="1" t="s">
        <v>128</v>
      </c>
      <c r="G273" s="1">
        <v>18.899999999999999</v>
      </c>
      <c r="H273" s="1">
        <v>43</v>
      </c>
      <c r="I273" s="1">
        <v>4</v>
      </c>
      <c r="J273" s="1">
        <v>85.1</v>
      </c>
      <c r="K273" s="1" t="s">
        <v>120</v>
      </c>
      <c r="L273" s="1" t="s">
        <v>121</v>
      </c>
      <c r="M273" s="1" t="s">
        <v>121</v>
      </c>
    </row>
    <row r="274" spans="1:13" ht="15" customHeight="1">
      <c r="A274" s="1" t="s">
        <v>405</v>
      </c>
      <c r="B274" s="4">
        <v>45864</v>
      </c>
      <c r="C274" s="1" t="s">
        <v>51</v>
      </c>
      <c r="D274" s="1" t="s">
        <v>117</v>
      </c>
      <c r="E274" s="1" t="s">
        <v>134</v>
      </c>
      <c r="F274" s="1" t="s">
        <v>128</v>
      </c>
      <c r="G274" s="1">
        <v>20</v>
      </c>
      <c r="H274" s="1">
        <v>35</v>
      </c>
      <c r="I274" s="1">
        <v>5</v>
      </c>
      <c r="J274" s="1">
        <v>84.5</v>
      </c>
      <c r="K274" s="1" t="s">
        <v>120</v>
      </c>
      <c r="L274" s="1" t="s">
        <v>121</v>
      </c>
      <c r="M274" s="1" t="s">
        <v>121</v>
      </c>
    </row>
    <row r="275" spans="1:13" ht="15" customHeight="1">
      <c r="A275" s="1" t="s">
        <v>406</v>
      </c>
      <c r="B275" s="4">
        <v>45718</v>
      </c>
      <c r="C275" s="1" t="s">
        <v>69</v>
      </c>
      <c r="D275" s="1" t="s">
        <v>132</v>
      </c>
      <c r="E275" s="1" t="s">
        <v>145</v>
      </c>
      <c r="F275" s="1" t="s">
        <v>128</v>
      </c>
      <c r="G275" s="1">
        <v>8.4</v>
      </c>
      <c r="H275" s="1">
        <v>22</v>
      </c>
      <c r="I275" s="1">
        <v>5</v>
      </c>
      <c r="J275" s="1">
        <v>85.7</v>
      </c>
      <c r="K275" s="1" t="s">
        <v>120</v>
      </c>
      <c r="L275" s="1" t="s">
        <v>138</v>
      </c>
      <c r="M275" s="1" t="s">
        <v>121</v>
      </c>
    </row>
    <row r="276" spans="1:13" ht="15" customHeight="1">
      <c r="A276" s="1" t="s">
        <v>407</v>
      </c>
      <c r="B276" s="4">
        <v>45681</v>
      </c>
      <c r="C276" s="1" t="s">
        <v>75</v>
      </c>
      <c r="D276" s="1" t="s">
        <v>132</v>
      </c>
      <c r="E276" s="1" t="s">
        <v>147</v>
      </c>
      <c r="F276" s="1" t="s">
        <v>128</v>
      </c>
      <c r="G276" s="1">
        <v>24.5</v>
      </c>
      <c r="H276" s="1">
        <v>62</v>
      </c>
      <c r="I276" s="1">
        <v>3</v>
      </c>
      <c r="J276" s="1">
        <v>86.7</v>
      </c>
      <c r="K276" s="1" t="s">
        <v>120</v>
      </c>
      <c r="L276" s="1" t="s">
        <v>121</v>
      </c>
      <c r="M276" s="1" t="s">
        <v>121</v>
      </c>
    </row>
    <row r="277" spans="1:13" ht="15" customHeight="1">
      <c r="A277" s="1" t="s">
        <v>408</v>
      </c>
      <c r="B277" s="4">
        <v>45781</v>
      </c>
      <c r="C277" s="1" t="s">
        <v>88</v>
      </c>
      <c r="D277" s="1" t="s">
        <v>117</v>
      </c>
      <c r="E277" s="1" t="s">
        <v>147</v>
      </c>
      <c r="F277" s="1" t="s">
        <v>128</v>
      </c>
      <c r="G277" s="1">
        <v>19</v>
      </c>
      <c r="H277" s="1">
        <v>19</v>
      </c>
      <c r="I277" s="1">
        <v>4</v>
      </c>
      <c r="J277" s="1">
        <v>90.9</v>
      </c>
      <c r="K277" s="1" t="s">
        <v>120</v>
      </c>
      <c r="L277" s="1" t="s">
        <v>138</v>
      </c>
      <c r="M277" s="1" t="s">
        <v>121</v>
      </c>
    </row>
    <row r="278" spans="1:13" ht="15" customHeight="1">
      <c r="A278" s="1" t="s">
        <v>409</v>
      </c>
      <c r="B278" s="4">
        <v>45838</v>
      </c>
      <c r="C278" s="1" t="s">
        <v>54</v>
      </c>
      <c r="D278" s="1" t="s">
        <v>117</v>
      </c>
      <c r="E278" s="1" t="s">
        <v>147</v>
      </c>
      <c r="F278" s="1" t="s">
        <v>119</v>
      </c>
      <c r="G278" s="1">
        <v>10.199999999999999</v>
      </c>
      <c r="H278" s="1">
        <v>11</v>
      </c>
      <c r="I278" s="1">
        <v>5</v>
      </c>
      <c r="J278" s="1">
        <v>82</v>
      </c>
      <c r="K278" s="1" t="s">
        <v>120</v>
      </c>
      <c r="L278" s="1" t="s">
        <v>121</v>
      </c>
      <c r="M278" s="1" t="s">
        <v>138</v>
      </c>
    </row>
    <row r="279" spans="1:13" ht="15" customHeight="1">
      <c r="A279" s="1" t="s">
        <v>410</v>
      </c>
      <c r="B279" s="4">
        <v>45813</v>
      </c>
      <c r="C279" s="1" t="s">
        <v>80</v>
      </c>
      <c r="D279" s="1" t="s">
        <v>117</v>
      </c>
      <c r="E279" s="1" t="s">
        <v>123</v>
      </c>
      <c r="F279" s="1" t="s">
        <v>119</v>
      </c>
      <c r="G279" s="1">
        <v>9.1999999999999993</v>
      </c>
      <c r="H279" s="1">
        <v>11</v>
      </c>
      <c r="I279" s="1">
        <v>5</v>
      </c>
      <c r="J279" s="1">
        <v>85.6</v>
      </c>
      <c r="K279" s="1" t="s">
        <v>120</v>
      </c>
      <c r="L279" s="1" t="s">
        <v>121</v>
      </c>
      <c r="M279" s="1" t="s">
        <v>121</v>
      </c>
    </row>
    <row r="280" spans="1:13" ht="15" customHeight="1">
      <c r="A280" s="1" t="s">
        <v>411</v>
      </c>
      <c r="B280" s="4">
        <v>45741</v>
      </c>
      <c r="C280" s="1" t="s">
        <v>60</v>
      </c>
      <c r="D280" s="1" t="s">
        <v>132</v>
      </c>
      <c r="E280" s="1" t="s">
        <v>123</v>
      </c>
      <c r="F280" s="1" t="s">
        <v>126</v>
      </c>
      <c r="G280" s="1">
        <v>64.099999999999994</v>
      </c>
      <c r="H280" s="1">
        <v>52</v>
      </c>
      <c r="I280" s="1">
        <v>5</v>
      </c>
      <c r="J280" s="1">
        <v>99.7</v>
      </c>
      <c r="K280" s="1" t="s">
        <v>120</v>
      </c>
      <c r="L280" s="1" t="s">
        <v>121</v>
      </c>
      <c r="M280" s="1" t="s">
        <v>121</v>
      </c>
    </row>
    <row r="281" spans="1:13" ht="15" customHeight="1">
      <c r="A281" s="1" t="s">
        <v>412</v>
      </c>
      <c r="B281" s="4">
        <v>45822</v>
      </c>
      <c r="C281" s="1" t="s">
        <v>86</v>
      </c>
      <c r="D281" s="1" t="s">
        <v>132</v>
      </c>
      <c r="E281" s="1" t="s">
        <v>145</v>
      </c>
      <c r="F281" s="1" t="s">
        <v>119</v>
      </c>
      <c r="G281" s="1">
        <v>0.5</v>
      </c>
      <c r="H281" s="1">
        <v>23</v>
      </c>
      <c r="I281" s="1">
        <v>3</v>
      </c>
      <c r="J281" s="1">
        <v>92.2</v>
      </c>
      <c r="K281" s="1" t="s">
        <v>120</v>
      </c>
      <c r="L281" s="1" t="s">
        <v>121</v>
      </c>
      <c r="M281" s="1" t="s">
        <v>121</v>
      </c>
    </row>
    <row r="282" spans="1:13" ht="15" customHeight="1">
      <c r="A282" s="1" t="s">
        <v>413</v>
      </c>
      <c r="B282" s="4">
        <v>45713</v>
      </c>
      <c r="C282" s="1" t="s">
        <v>84</v>
      </c>
      <c r="D282" s="1" t="s">
        <v>117</v>
      </c>
      <c r="E282" s="1" t="s">
        <v>145</v>
      </c>
      <c r="F282" s="1" t="s">
        <v>126</v>
      </c>
      <c r="G282" s="1">
        <v>45.6</v>
      </c>
      <c r="H282" s="1">
        <v>41</v>
      </c>
      <c r="I282" s="1">
        <v>5</v>
      </c>
      <c r="J282" s="1">
        <v>88.9</v>
      </c>
      <c r="K282" s="1" t="s">
        <v>120</v>
      </c>
      <c r="L282" s="1" t="s">
        <v>121</v>
      </c>
      <c r="M282" s="1" t="s">
        <v>121</v>
      </c>
    </row>
    <row r="283" spans="1:13" ht="15" customHeight="1">
      <c r="A283" s="1" t="s">
        <v>414</v>
      </c>
      <c r="B283" s="4">
        <v>45858</v>
      </c>
      <c r="C283" s="1" t="s">
        <v>54</v>
      </c>
      <c r="D283" s="1" t="s">
        <v>117</v>
      </c>
      <c r="E283" s="1" t="s">
        <v>145</v>
      </c>
      <c r="F283" s="1" t="s">
        <v>128</v>
      </c>
      <c r="G283" s="1">
        <v>17.3</v>
      </c>
      <c r="H283" s="1">
        <v>70</v>
      </c>
      <c r="I283" s="1">
        <v>5</v>
      </c>
      <c r="J283" s="1">
        <v>79.599999999999994</v>
      </c>
      <c r="K283" s="1" t="s">
        <v>120</v>
      </c>
      <c r="L283" s="1" t="s">
        <v>138</v>
      </c>
      <c r="M283" s="1" t="s">
        <v>121</v>
      </c>
    </row>
    <row r="284" spans="1:13" ht="15" customHeight="1">
      <c r="A284" s="1" t="s">
        <v>415</v>
      </c>
      <c r="B284" s="4">
        <v>45677</v>
      </c>
      <c r="C284" s="1" t="s">
        <v>49</v>
      </c>
      <c r="D284" s="1" t="s">
        <v>132</v>
      </c>
      <c r="E284" s="1" t="s">
        <v>134</v>
      </c>
      <c r="F284" s="1" t="s">
        <v>128</v>
      </c>
      <c r="G284" s="1">
        <v>19.899999999999999</v>
      </c>
      <c r="H284" s="1">
        <v>57</v>
      </c>
      <c r="I284" s="1">
        <v>4</v>
      </c>
      <c r="J284" s="1">
        <v>78.099999999999994</v>
      </c>
      <c r="K284" s="1" t="s">
        <v>120</v>
      </c>
      <c r="L284" s="1" t="s">
        <v>121</v>
      </c>
      <c r="M284" s="1" t="s">
        <v>121</v>
      </c>
    </row>
    <row r="285" spans="1:13" ht="15" customHeight="1">
      <c r="A285" s="1" t="s">
        <v>416</v>
      </c>
      <c r="B285" s="4">
        <v>45784</v>
      </c>
      <c r="C285" s="1" t="s">
        <v>86</v>
      </c>
      <c r="D285" s="1" t="s">
        <v>125</v>
      </c>
      <c r="E285" s="1" t="s">
        <v>145</v>
      </c>
      <c r="F285" s="1" t="s">
        <v>128</v>
      </c>
      <c r="G285" s="1">
        <v>11.6</v>
      </c>
      <c r="H285" s="1">
        <v>44</v>
      </c>
      <c r="I285" s="1">
        <v>4</v>
      </c>
      <c r="J285" s="1">
        <v>85.3</v>
      </c>
      <c r="K285" s="1" t="s">
        <v>120</v>
      </c>
      <c r="L285" s="1" t="s">
        <v>121</v>
      </c>
      <c r="M285" s="1" t="s">
        <v>121</v>
      </c>
    </row>
    <row r="286" spans="1:13" ht="15" customHeight="1">
      <c r="A286" s="1" t="s">
        <v>417</v>
      </c>
      <c r="B286" s="4">
        <v>45737</v>
      </c>
      <c r="C286" s="1" t="s">
        <v>46</v>
      </c>
      <c r="D286" s="1" t="s">
        <v>132</v>
      </c>
      <c r="E286" s="1" t="s">
        <v>123</v>
      </c>
      <c r="F286" s="1" t="s">
        <v>126</v>
      </c>
      <c r="G286" s="1">
        <v>29.3</v>
      </c>
      <c r="H286" s="1">
        <v>29</v>
      </c>
      <c r="I286" s="1">
        <v>5</v>
      </c>
      <c r="J286" s="1">
        <v>100</v>
      </c>
      <c r="K286" s="1" t="s">
        <v>120</v>
      </c>
      <c r="L286" s="1" t="s">
        <v>121</v>
      </c>
      <c r="M286" s="1" t="s">
        <v>121</v>
      </c>
    </row>
    <row r="287" spans="1:13" ht="15" customHeight="1">
      <c r="A287" s="1" t="s">
        <v>418</v>
      </c>
      <c r="B287" s="4">
        <v>45693</v>
      </c>
      <c r="C287" s="1" t="s">
        <v>49</v>
      </c>
      <c r="D287" s="1" t="s">
        <v>132</v>
      </c>
      <c r="E287" s="1" t="s">
        <v>123</v>
      </c>
      <c r="F287" s="1" t="s">
        <v>128</v>
      </c>
      <c r="G287" s="1">
        <v>26.5</v>
      </c>
      <c r="H287" s="1">
        <v>37</v>
      </c>
      <c r="I287" s="1">
        <v>5</v>
      </c>
      <c r="J287" s="1">
        <v>88.8</v>
      </c>
      <c r="K287" s="1" t="s">
        <v>159</v>
      </c>
      <c r="L287" s="1" t="s">
        <v>121</v>
      </c>
      <c r="M287" s="1" t="s">
        <v>121</v>
      </c>
    </row>
    <row r="288" spans="1:13" ht="15" customHeight="1">
      <c r="A288" s="1" t="s">
        <v>419</v>
      </c>
      <c r="B288" s="4">
        <v>45758</v>
      </c>
      <c r="C288" s="1" t="s">
        <v>80</v>
      </c>
      <c r="D288" s="1" t="s">
        <v>132</v>
      </c>
      <c r="E288" s="1" t="s">
        <v>123</v>
      </c>
      <c r="F288" s="1" t="s">
        <v>126</v>
      </c>
      <c r="G288" s="1">
        <v>38.5</v>
      </c>
      <c r="H288" s="1">
        <v>19</v>
      </c>
      <c r="I288" s="1">
        <v>4</v>
      </c>
      <c r="J288" s="1">
        <v>98.7</v>
      </c>
      <c r="K288" s="1" t="s">
        <v>120</v>
      </c>
      <c r="L288" s="1" t="s">
        <v>121</v>
      </c>
      <c r="M288" s="1" t="s">
        <v>121</v>
      </c>
    </row>
    <row r="289" spans="1:13" ht="15" customHeight="1">
      <c r="A289" s="1" t="s">
        <v>420</v>
      </c>
      <c r="B289" s="4">
        <v>45670</v>
      </c>
      <c r="C289" s="1" t="s">
        <v>80</v>
      </c>
      <c r="D289" s="1" t="s">
        <v>125</v>
      </c>
      <c r="E289" s="1" t="s">
        <v>130</v>
      </c>
      <c r="F289" s="1" t="s">
        <v>126</v>
      </c>
      <c r="G289" s="1">
        <v>9.1</v>
      </c>
      <c r="H289" s="1">
        <v>54</v>
      </c>
      <c r="I289" s="1">
        <v>3</v>
      </c>
      <c r="J289" s="1">
        <v>94.4</v>
      </c>
      <c r="K289" s="1" t="s">
        <v>120</v>
      </c>
      <c r="L289" s="1" t="s">
        <v>121</v>
      </c>
      <c r="M289" s="1" t="s">
        <v>121</v>
      </c>
    </row>
    <row r="290" spans="1:13" ht="15" customHeight="1">
      <c r="A290" s="1" t="s">
        <v>421</v>
      </c>
      <c r="B290" s="4">
        <v>45890</v>
      </c>
      <c r="C290" s="1" t="s">
        <v>67</v>
      </c>
      <c r="D290" s="1" t="s">
        <v>125</v>
      </c>
      <c r="E290" s="1" t="s">
        <v>123</v>
      </c>
      <c r="F290" s="1" t="s">
        <v>119</v>
      </c>
      <c r="G290" s="1">
        <v>11</v>
      </c>
      <c r="H290" s="1">
        <v>22</v>
      </c>
      <c r="I290" s="1">
        <v>3</v>
      </c>
      <c r="J290" s="1">
        <v>94</v>
      </c>
      <c r="K290" s="1" t="s">
        <v>120</v>
      </c>
      <c r="L290" s="1" t="s">
        <v>121</v>
      </c>
      <c r="M290" s="1" t="s">
        <v>121</v>
      </c>
    </row>
    <row r="291" spans="1:13" ht="15" customHeight="1">
      <c r="A291" s="1" t="s">
        <v>422</v>
      </c>
      <c r="B291" s="4">
        <v>45755</v>
      </c>
      <c r="C291" s="1" t="s">
        <v>41</v>
      </c>
      <c r="D291" s="1" t="s">
        <v>125</v>
      </c>
      <c r="E291" s="1" t="s">
        <v>147</v>
      </c>
      <c r="F291" s="1" t="s">
        <v>128</v>
      </c>
      <c r="G291" s="1">
        <v>15.1</v>
      </c>
      <c r="H291" s="1">
        <v>52</v>
      </c>
      <c r="I291" s="1">
        <v>5</v>
      </c>
      <c r="J291" s="1">
        <v>88.3</v>
      </c>
      <c r="K291" s="1" t="s">
        <v>120</v>
      </c>
      <c r="L291" s="1" t="s">
        <v>121</v>
      </c>
      <c r="M291" s="1" t="s">
        <v>121</v>
      </c>
    </row>
    <row r="292" spans="1:13" ht="15" customHeight="1">
      <c r="A292" s="1" t="s">
        <v>423</v>
      </c>
      <c r="B292" s="4">
        <v>45780</v>
      </c>
      <c r="C292" s="1" t="s">
        <v>90</v>
      </c>
      <c r="D292" s="1" t="s">
        <v>132</v>
      </c>
      <c r="E292" s="1" t="s">
        <v>145</v>
      </c>
      <c r="F292" s="1" t="s">
        <v>128</v>
      </c>
      <c r="G292" s="1">
        <v>27.3</v>
      </c>
      <c r="H292" s="1">
        <v>25</v>
      </c>
      <c r="I292" s="1">
        <v>4</v>
      </c>
      <c r="J292" s="1">
        <v>76.8</v>
      </c>
      <c r="K292" s="1" t="s">
        <v>120</v>
      </c>
      <c r="L292" s="1" t="s">
        <v>121</v>
      </c>
      <c r="M292" s="1" t="s">
        <v>121</v>
      </c>
    </row>
    <row r="293" spans="1:13" ht="15" customHeight="1">
      <c r="A293" s="1" t="s">
        <v>424</v>
      </c>
      <c r="B293" s="4">
        <v>45692</v>
      </c>
      <c r="C293" s="1" t="s">
        <v>51</v>
      </c>
      <c r="D293" s="1" t="s">
        <v>132</v>
      </c>
      <c r="E293" s="1" t="s">
        <v>145</v>
      </c>
      <c r="F293" s="1" t="s">
        <v>128</v>
      </c>
      <c r="G293" s="1">
        <v>17.100000000000001</v>
      </c>
      <c r="H293" s="1">
        <v>76</v>
      </c>
      <c r="I293" s="1">
        <v>4</v>
      </c>
      <c r="J293" s="1">
        <v>83.1</v>
      </c>
      <c r="K293" s="1" t="s">
        <v>120</v>
      </c>
      <c r="L293" s="1" t="s">
        <v>121</v>
      </c>
      <c r="M293" s="1" t="s">
        <v>121</v>
      </c>
    </row>
    <row r="294" spans="1:13" ht="15" customHeight="1">
      <c r="A294" s="1" t="s">
        <v>425</v>
      </c>
      <c r="B294" s="4">
        <v>45755</v>
      </c>
      <c r="C294" s="1" t="s">
        <v>54</v>
      </c>
      <c r="D294" s="1" t="s">
        <v>125</v>
      </c>
      <c r="E294" s="1" t="s">
        <v>118</v>
      </c>
      <c r="F294" s="1" t="s">
        <v>126</v>
      </c>
      <c r="G294" s="1">
        <v>66.5</v>
      </c>
      <c r="H294" s="1">
        <v>68</v>
      </c>
      <c r="I294" s="1">
        <v>4</v>
      </c>
      <c r="J294" s="1">
        <v>92.8</v>
      </c>
      <c r="K294" s="1" t="s">
        <v>120</v>
      </c>
      <c r="L294" s="1" t="s">
        <v>121</v>
      </c>
      <c r="M294" s="1" t="s">
        <v>121</v>
      </c>
    </row>
    <row r="295" spans="1:13" ht="15" customHeight="1">
      <c r="A295" s="1" t="s">
        <v>426</v>
      </c>
      <c r="B295" s="4">
        <v>45961</v>
      </c>
      <c r="C295" s="1" t="s">
        <v>67</v>
      </c>
      <c r="D295" s="1" t="s">
        <v>125</v>
      </c>
      <c r="E295" s="1" t="s">
        <v>130</v>
      </c>
      <c r="F295" s="1" t="s">
        <v>128</v>
      </c>
      <c r="G295" s="1">
        <v>12</v>
      </c>
      <c r="H295" s="1">
        <v>31</v>
      </c>
      <c r="I295" s="1">
        <v>4</v>
      </c>
      <c r="J295" s="1">
        <v>95.6</v>
      </c>
      <c r="K295" s="1" t="s">
        <v>120</v>
      </c>
      <c r="L295" s="1" t="s">
        <v>121</v>
      </c>
      <c r="M295" s="1" t="s">
        <v>121</v>
      </c>
    </row>
    <row r="296" spans="1:13" ht="15" customHeight="1">
      <c r="A296" s="1" t="s">
        <v>427</v>
      </c>
      <c r="B296" s="4">
        <v>45825</v>
      </c>
      <c r="C296" s="1" t="s">
        <v>51</v>
      </c>
      <c r="D296" s="1" t="s">
        <v>132</v>
      </c>
      <c r="E296" s="1" t="s">
        <v>134</v>
      </c>
      <c r="F296" s="1" t="s">
        <v>126</v>
      </c>
      <c r="G296" s="1">
        <v>49.2</v>
      </c>
      <c r="H296" s="1">
        <v>44</v>
      </c>
      <c r="I296" s="1">
        <v>5</v>
      </c>
      <c r="J296" s="1">
        <v>93.5</v>
      </c>
      <c r="K296" s="1" t="s">
        <v>120</v>
      </c>
      <c r="L296" s="1" t="s">
        <v>121</v>
      </c>
      <c r="M296" s="1" t="s">
        <v>121</v>
      </c>
    </row>
    <row r="297" spans="1:13" ht="15" customHeight="1">
      <c r="A297" s="1" t="s">
        <v>428</v>
      </c>
      <c r="B297" s="4">
        <v>45839</v>
      </c>
      <c r="C297" s="1" t="s">
        <v>100</v>
      </c>
      <c r="D297" s="1" t="s">
        <v>117</v>
      </c>
      <c r="E297" s="1" t="s">
        <v>123</v>
      </c>
      <c r="F297" s="1" t="s">
        <v>128</v>
      </c>
      <c r="G297" s="1">
        <v>31.1</v>
      </c>
      <c r="H297" s="1">
        <v>28</v>
      </c>
      <c r="I297" s="1">
        <v>4</v>
      </c>
      <c r="J297" s="1">
        <v>80.2</v>
      </c>
      <c r="K297" s="1" t="s">
        <v>120</v>
      </c>
      <c r="L297" s="1" t="s">
        <v>121</v>
      </c>
      <c r="M297" s="1" t="s">
        <v>121</v>
      </c>
    </row>
    <row r="298" spans="1:13" ht="15" customHeight="1">
      <c r="A298" s="1" t="s">
        <v>429</v>
      </c>
      <c r="B298" s="4">
        <v>45849</v>
      </c>
      <c r="C298" s="1" t="s">
        <v>88</v>
      </c>
      <c r="D298" s="1" t="s">
        <v>132</v>
      </c>
      <c r="E298" s="1" t="s">
        <v>118</v>
      </c>
      <c r="F298" s="1" t="s">
        <v>128</v>
      </c>
      <c r="G298" s="1">
        <v>8.9</v>
      </c>
      <c r="H298" s="1">
        <v>34</v>
      </c>
      <c r="I298" s="1">
        <v>4</v>
      </c>
      <c r="J298" s="1">
        <v>77.3</v>
      </c>
      <c r="K298" s="1" t="s">
        <v>120</v>
      </c>
      <c r="L298" s="1" t="s">
        <v>121</v>
      </c>
      <c r="M298" s="1" t="s">
        <v>121</v>
      </c>
    </row>
    <row r="299" spans="1:13" ht="15" customHeight="1">
      <c r="A299" s="1" t="s">
        <v>430</v>
      </c>
      <c r="B299" s="4">
        <v>45805</v>
      </c>
      <c r="C299" s="1" t="s">
        <v>49</v>
      </c>
      <c r="D299" s="1" t="s">
        <v>125</v>
      </c>
      <c r="E299" s="1" t="s">
        <v>130</v>
      </c>
      <c r="F299" s="1" t="s">
        <v>119</v>
      </c>
      <c r="G299" s="1">
        <v>10.5</v>
      </c>
      <c r="H299" s="1">
        <v>34</v>
      </c>
      <c r="I299" s="1">
        <v>5</v>
      </c>
      <c r="J299" s="1">
        <v>93.8</v>
      </c>
      <c r="K299" s="1" t="s">
        <v>120</v>
      </c>
      <c r="L299" s="1" t="s">
        <v>121</v>
      </c>
      <c r="M299" s="1" t="s">
        <v>138</v>
      </c>
    </row>
    <row r="300" spans="1:13" ht="15" customHeight="1">
      <c r="A300" s="1" t="s">
        <v>431</v>
      </c>
      <c r="B300" s="4">
        <v>45974</v>
      </c>
      <c r="C300" s="1" t="s">
        <v>65</v>
      </c>
      <c r="D300" s="1" t="s">
        <v>132</v>
      </c>
      <c r="E300" s="1" t="s">
        <v>134</v>
      </c>
      <c r="F300" s="1" t="s">
        <v>135</v>
      </c>
      <c r="G300" s="1">
        <v>3.8</v>
      </c>
      <c r="H300" s="1">
        <v>25</v>
      </c>
      <c r="I300" s="1">
        <v>5</v>
      </c>
      <c r="J300" s="1">
        <v>95.7</v>
      </c>
      <c r="K300" s="1" t="s">
        <v>120</v>
      </c>
      <c r="L300" s="1" t="s">
        <v>121</v>
      </c>
      <c r="M300" s="1" t="s">
        <v>138</v>
      </c>
    </row>
    <row r="301" spans="1:13" ht="15" customHeight="1">
      <c r="A301" s="1" t="s">
        <v>432</v>
      </c>
      <c r="B301" s="4">
        <v>45753</v>
      </c>
      <c r="C301" s="1" t="s">
        <v>77</v>
      </c>
      <c r="D301" s="1" t="s">
        <v>132</v>
      </c>
      <c r="E301" s="1" t="s">
        <v>145</v>
      </c>
      <c r="F301" s="1" t="s">
        <v>128</v>
      </c>
      <c r="G301" s="1">
        <v>8.9</v>
      </c>
      <c r="H301" s="1">
        <v>27</v>
      </c>
      <c r="I301" s="1">
        <v>3</v>
      </c>
      <c r="J301" s="1">
        <v>94.2</v>
      </c>
      <c r="K301" s="1" t="s">
        <v>120</v>
      </c>
      <c r="L301" s="1" t="s">
        <v>121</v>
      </c>
      <c r="M301" s="1" t="s">
        <v>121</v>
      </c>
    </row>
    <row r="302" spans="1:13" ht="15" customHeight="1">
      <c r="A302" s="1" t="s">
        <v>433</v>
      </c>
      <c r="B302" s="4">
        <v>45934</v>
      </c>
      <c r="C302" s="1" t="s">
        <v>46</v>
      </c>
      <c r="D302" s="1" t="s">
        <v>125</v>
      </c>
      <c r="E302" s="1" t="s">
        <v>134</v>
      </c>
      <c r="F302" s="1" t="s">
        <v>126</v>
      </c>
      <c r="G302" s="1">
        <v>36.6</v>
      </c>
      <c r="H302" s="1">
        <v>51</v>
      </c>
      <c r="I302" s="1">
        <v>3</v>
      </c>
      <c r="J302" s="1">
        <v>87.7</v>
      </c>
      <c r="K302" s="1" t="s">
        <v>120</v>
      </c>
      <c r="L302" s="1" t="s">
        <v>121</v>
      </c>
      <c r="M302" s="1" t="s">
        <v>121</v>
      </c>
    </row>
    <row r="303" spans="1:13" ht="15" customHeight="1">
      <c r="A303" s="1" t="s">
        <v>434</v>
      </c>
      <c r="B303" s="4">
        <v>45697</v>
      </c>
      <c r="C303" s="1" t="s">
        <v>67</v>
      </c>
      <c r="D303" s="1" t="s">
        <v>132</v>
      </c>
      <c r="E303" s="1" t="s">
        <v>147</v>
      </c>
      <c r="F303" s="1" t="s">
        <v>128</v>
      </c>
      <c r="G303" s="1">
        <v>10.4</v>
      </c>
      <c r="H303" s="1">
        <v>46</v>
      </c>
      <c r="I303" s="1">
        <v>3</v>
      </c>
      <c r="J303" s="1">
        <v>100</v>
      </c>
      <c r="K303" s="1" t="s">
        <v>120</v>
      </c>
      <c r="L303" s="1" t="s">
        <v>138</v>
      </c>
      <c r="M303" s="1" t="s">
        <v>121</v>
      </c>
    </row>
    <row r="304" spans="1:13" ht="15" customHeight="1">
      <c r="A304" s="1" t="s">
        <v>435</v>
      </c>
      <c r="B304" s="4">
        <v>45658</v>
      </c>
      <c r="C304" s="1" t="s">
        <v>67</v>
      </c>
      <c r="D304" s="1" t="s">
        <v>132</v>
      </c>
      <c r="E304" s="1" t="s">
        <v>147</v>
      </c>
      <c r="F304" s="1" t="s">
        <v>119</v>
      </c>
      <c r="G304" s="1">
        <v>12.3</v>
      </c>
      <c r="H304" s="1">
        <v>10</v>
      </c>
      <c r="I304" s="1">
        <v>5</v>
      </c>
      <c r="J304" s="1">
        <v>79</v>
      </c>
      <c r="K304" s="1" t="s">
        <v>120</v>
      </c>
      <c r="L304" s="1" t="s">
        <v>121</v>
      </c>
      <c r="M304" s="1" t="s">
        <v>121</v>
      </c>
    </row>
    <row r="305" spans="1:13" ht="15" customHeight="1">
      <c r="A305" s="1" t="s">
        <v>436</v>
      </c>
      <c r="B305" s="4">
        <v>45862</v>
      </c>
      <c r="C305" s="1" t="s">
        <v>75</v>
      </c>
      <c r="D305" s="1" t="s">
        <v>125</v>
      </c>
      <c r="E305" s="1" t="s">
        <v>134</v>
      </c>
      <c r="F305" s="1" t="s">
        <v>128</v>
      </c>
      <c r="G305" s="1">
        <v>9.9</v>
      </c>
      <c r="H305" s="1">
        <v>12</v>
      </c>
      <c r="I305" s="1">
        <v>4</v>
      </c>
      <c r="J305" s="1">
        <v>81.5</v>
      </c>
      <c r="K305" s="1" t="s">
        <v>120</v>
      </c>
      <c r="L305" s="1" t="s">
        <v>121</v>
      </c>
      <c r="M305" s="1" t="s">
        <v>121</v>
      </c>
    </row>
    <row r="306" spans="1:13" ht="15" customHeight="1">
      <c r="A306" s="1" t="s">
        <v>437</v>
      </c>
      <c r="B306" s="4">
        <v>45691</v>
      </c>
      <c r="C306" s="1" t="s">
        <v>67</v>
      </c>
      <c r="D306" s="1" t="s">
        <v>132</v>
      </c>
      <c r="E306" s="1" t="s">
        <v>134</v>
      </c>
      <c r="F306" s="1" t="s">
        <v>126</v>
      </c>
      <c r="G306" s="1">
        <v>54.2</v>
      </c>
      <c r="H306" s="1">
        <v>46</v>
      </c>
      <c r="I306" s="1">
        <v>2</v>
      </c>
      <c r="J306" s="1">
        <v>77.3</v>
      </c>
      <c r="K306" s="1" t="s">
        <v>120</v>
      </c>
      <c r="L306" s="1" t="s">
        <v>121</v>
      </c>
      <c r="M306" s="1" t="s">
        <v>121</v>
      </c>
    </row>
    <row r="307" spans="1:13" ht="15" customHeight="1">
      <c r="A307" s="1" t="s">
        <v>438</v>
      </c>
      <c r="B307" s="4">
        <v>46014</v>
      </c>
      <c r="C307" s="1" t="s">
        <v>62</v>
      </c>
      <c r="D307" s="1" t="s">
        <v>132</v>
      </c>
      <c r="E307" s="1" t="s">
        <v>134</v>
      </c>
      <c r="F307" s="1" t="s">
        <v>126</v>
      </c>
      <c r="G307" s="1">
        <v>57.1</v>
      </c>
      <c r="H307" s="1">
        <v>42</v>
      </c>
      <c r="I307" s="1">
        <v>3</v>
      </c>
      <c r="J307" s="1">
        <v>79.7</v>
      </c>
      <c r="K307" s="1" t="s">
        <v>120</v>
      </c>
      <c r="L307" s="1" t="s">
        <v>138</v>
      </c>
      <c r="M307" s="1" t="s">
        <v>121</v>
      </c>
    </row>
    <row r="308" spans="1:13" ht="15" customHeight="1">
      <c r="A308" s="1" t="s">
        <v>439</v>
      </c>
      <c r="B308" s="4">
        <v>45885</v>
      </c>
      <c r="C308" s="1" t="s">
        <v>96</v>
      </c>
      <c r="D308" s="1" t="s">
        <v>132</v>
      </c>
      <c r="E308" s="1" t="s">
        <v>118</v>
      </c>
      <c r="F308" s="1" t="s">
        <v>126</v>
      </c>
      <c r="G308" s="1">
        <v>35.6</v>
      </c>
      <c r="H308" s="1">
        <v>39</v>
      </c>
      <c r="I308" s="1">
        <v>4</v>
      </c>
      <c r="J308" s="1">
        <v>82.4</v>
      </c>
      <c r="K308" s="1" t="s">
        <v>120</v>
      </c>
      <c r="L308" s="1" t="s">
        <v>121</v>
      </c>
      <c r="M308" s="1" t="s">
        <v>121</v>
      </c>
    </row>
    <row r="309" spans="1:13" ht="15" customHeight="1">
      <c r="A309" s="1" t="s">
        <v>440</v>
      </c>
      <c r="B309" s="4">
        <v>45801</v>
      </c>
      <c r="C309" s="1" t="s">
        <v>100</v>
      </c>
      <c r="D309" s="1" t="s">
        <v>125</v>
      </c>
      <c r="E309" s="1" t="s">
        <v>130</v>
      </c>
      <c r="F309" s="1" t="s">
        <v>126</v>
      </c>
      <c r="G309" s="1">
        <v>63.2</v>
      </c>
      <c r="H309" s="1">
        <v>52</v>
      </c>
      <c r="I309" s="1">
        <v>5</v>
      </c>
      <c r="J309" s="1">
        <v>87.6</v>
      </c>
      <c r="K309" s="1" t="s">
        <v>120</v>
      </c>
      <c r="L309" s="1" t="s">
        <v>138</v>
      </c>
      <c r="M309" s="1" t="s">
        <v>121</v>
      </c>
    </row>
    <row r="310" spans="1:13" ht="15" customHeight="1">
      <c r="A310" s="1" t="s">
        <v>441</v>
      </c>
      <c r="B310" s="4">
        <v>45882</v>
      </c>
      <c r="C310" s="1" t="s">
        <v>65</v>
      </c>
      <c r="D310" s="1" t="s">
        <v>117</v>
      </c>
      <c r="E310" s="1" t="s">
        <v>145</v>
      </c>
      <c r="F310" s="1" t="s">
        <v>126</v>
      </c>
      <c r="G310" s="1">
        <v>39.9</v>
      </c>
      <c r="H310" s="1">
        <v>21</v>
      </c>
      <c r="I310" s="1">
        <v>4</v>
      </c>
      <c r="J310" s="1">
        <v>80.099999999999994</v>
      </c>
      <c r="K310" s="1" t="s">
        <v>120</v>
      </c>
      <c r="L310" s="1" t="s">
        <v>138</v>
      </c>
      <c r="M310" s="1" t="s">
        <v>121</v>
      </c>
    </row>
    <row r="311" spans="1:13" ht="15" customHeight="1">
      <c r="A311" s="1" t="s">
        <v>442</v>
      </c>
      <c r="B311" s="4">
        <v>45969</v>
      </c>
      <c r="C311" s="1" t="s">
        <v>78</v>
      </c>
      <c r="D311" s="1" t="s">
        <v>125</v>
      </c>
      <c r="E311" s="1" t="s">
        <v>130</v>
      </c>
      <c r="F311" s="1" t="s">
        <v>119</v>
      </c>
      <c r="G311" s="1">
        <v>0.5</v>
      </c>
      <c r="H311" s="1">
        <v>9</v>
      </c>
      <c r="I311" s="1">
        <v>4</v>
      </c>
      <c r="J311" s="1">
        <v>78.2</v>
      </c>
      <c r="K311" s="1" t="s">
        <v>120</v>
      </c>
      <c r="L311" s="1" t="s">
        <v>121</v>
      </c>
      <c r="M311" s="1" t="s">
        <v>121</v>
      </c>
    </row>
    <row r="312" spans="1:13" ht="15" customHeight="1">
      <c r="A312" s="1" t="s">
        <v>443</v>
      </c>
      <c r="B312" s="4">
        <v>45762</v>
      </c>
      <c r="C312" s="1" t="s">
        <v>41</v>
      </c>
      <c r="D312" s="1" t="s">
        <v>132</v>
      </c>
      <c r="E312" s="1" t="s">
        <v>118</v>
      </c>
      <c r="F312" s="1" t="s">
        <v>135</v>
      </c>
      <c r="G312" s="1">
        <v>2.2999999999999998</v>
      </c>
      <c r="H312" s="1">
        <v>36</v>
      </c>
      <c r="I312" s="1">
        <v>3</v>
      </c>
      <c r="J312" s="1">
        <v>85</v>
      </c>
      <c r="K312" s="1" t="s">
        <v>120</v>
      </c>
      <c r="L312" s="1" t="s">
        <v>121</v>
      </c>
      <c r="M312" s="1" t="s">
        <v>138</v>
      </c>
    </row>
    <row r="313" spans="1:13" ht="15" customHeight="1">
      <c r="A313" s="1" t="s">
        <v>444</v>
      </c>
      <c r="B313" s="4">
        <v>45696</v>
      </c>
      <c r="C313" s="1" t="s">
        <v>75</v>
      </c>
      <c r="D313" s="1" t="s">
        <v>132</v>
      </c>
      <c r="E313" s="1" t="s">
        <v>145</v>
      </c>
      <c r="F313" s="1" t="s">
        <v>128</v>
      </c>
      <c r="G313" s="1">
        <v>8.3000000000000007</v>
      </c>
      <c r="H313" s="1">
        <v>51</v>
      </c>
      <c r="I313" s="1">
        <v>5</v>
      </c>
      <c r="J313" s="1">
        <v>88.4</v>
      </c>
      <c r="K313" s="1" t="s">
        <v>120</v>
      </c>
      <c r="L313" s="1" t="s">
        <v>138</v>
      </c>
      <c r="M313" s="1" t="s">
        <v>121</v>
      </c>
    </row>
    <row r="314" spans="1:13" ht="15" customHeight="1">
      <c r="A314" s="1" t="s">
        <v>445</v>
      </c>
      <c r="B314" s="4">
        <v>45774</v>
      </c>
      <c r="C314" s="1" t="s">
        <v>100</v>
      </c>
      <c r="D314" s="1" t="s">
        <v>125</v>
      </c>
      <c r="E314" s="1" t="s">
        <v>118</v>
      </c>
      <c r="F314" s="1" t="s">
        <v>128</v>
      </c>
      <c r="G314" s="1">
        <v>32.5</v>
      </c>
      <c r="H314" s="1">
        <v>7</v>
      </c>
      <c r="I314" s="1">
        <v>3</v>
      </c>
      <c r="J314" s="1">
        <v>83.2</v>
      </c>
      <c r="K314" s="1" t="s">
        <v>120</v>
      </c>
      <c r="L314" s="1" t="s">
        <v>138</v>
      </c>
      <c r="M314" s="1" t="s">
        <v>121</v>
      </c>
    </row>
    <row r="315" spans="1:13" ht="15" customHeight="1">
      <c r="A315" s="1" t="s">
        <v>446</v>
      </c>
      <c r="B315" s="4">
        <v>45919</v>
      </c>
      <c r="C315" s="1" t="s">
        <v>100</v>
      </c>
      <c r="D315" s="1" t="s">
        <v>132</v>
      </c>
      <c r="E315" s="1" t="s">
        <v>118</v>
      </c>
      <c r="F315" s="1" t="s">
        <v>126</v>
      </c>
      <c r="G315" s="1">
        <v>49.9</v>
      </c>
      <c r="H315" s="1">
        <v>39</v>
      </c>
      <c r="I315" s="1">
        <v>3</v>
      </c>
      <c r="J315" s="1">
        <v>92.1</v>
      </c>
      <c r="K315" s="1" t="s">
        <v>120</v>
      </c>
      <c r="L315" s="1" t="s">
        <v>121</v>
      </c>
      <c r="M315" s="1" t="s">
        <v>121</v>
      </c>
    </row>
    <row r="316" spans="1:13" ht="15" customHeight="1">
      <c r="A316" s="1" t="s">
        <v>447</v>
      </c>
      <c r="B316" s="4">
        <v>45741</v>
      </c>
      <c r="C316" s="1" t="s">
        <v>90</v>
      </c>
      <c r="D316" s="1" t="s">
        <v>125</v>
      </c>
      <c r="E316" s="1" t="s">
        <v>134</v>
      </c>
      <c r="F316" s="1" t="s">
        <v>119</v>
      </c>
      <c r="G316" s="1">
        <v>3.6</v>
      </c>
      <c r="H316" s="1">
        <v>35</v>
      </c>
      <c r="I316" s="1">
        <v>3</v>
      </c>
      <c r="J316" s="1">
        <v>95.3</v>
      </c>
      <c r="K316" s="1" t="s">
        <v>120</v>
      </c>
      <c r="L316" s="1" t="s">
        <v>121</v>
      </c>
      <c r="M316" s="1" t="s">
        <v>138</v>
      </c>
    </row>
    <row r="317" spans="1:13" ht="15" customHeight="1">
      <c r="A317" s="1" t="s">
        <v>448</v>
      </c>
      <c r="B317" s="4">
        <v>45710</v>
      </c>
      <c r="C317" s="1" t="s">
        <v>92</v>
      </c>
      <c r="D317" s="1" t="s">
        <v>132</v>
      </c>
      <c r="E317" s="1" t="s">
        <v>134</v>
      </c>
      <c r="F317" s="1" t="s">
        <v>126</v>
      </c>
      <c r="G317" s="1">
        <v>37.9</v>
      </c>
      <c r="H317" s="1">
        <v>36</v>
      </c>
      <c r="I317" s="1">
        <v>3</v>
      </c>
      <c r="J317" s="1">
        <v>77.7</v>
      </c>
      <c r="K317" s="1" t="s">
        <v>120</v>
      </c>
      <c r="L317" s="1" t="s">
        <v>121</v>
      </c>
      <c r="M317" s="1" t="s">
        <v>121</v>
      </c>
    </row>
    <row r="318" spans="1:13" ht="15" customHeight="1">
      <c r="A318" s="1" t="s">
        <v>449</v>
      </c>
      <c r="B318" s="4">
        <v>46001</v>
      </c>
      <c r="C318" s="1" t="s">
        <v>69</v>
      </c>
      <c r="D318" s="1" t="s">
        <v>125</v>
      </c>
      <c r="E318" s="1" t="s">
        <v>130</v>
      </c>
      <c r="F318" s="1" t="s">
        <v>126</v>
      </c>
      <c r="G318" s="1">
        <v>29.5</v>
      </c>
      <c r="H318" s="1">
        <v>48</v>
      </c>
      <c r="I318" s="1">
        <v>4</v>
      </c>
      <c r="J318" s="1">
        <v>87.2</v>
      </c>
      <c r="K318" s="1" t="s">
        <v>120</v>
      </c>
      <c r="L318" s="1" t="s">
        <v>121</v>
      </c>
      <c r="M318" s="1" t="s">
        <v>121</v>
      </c>
    </row>
    <row r="319" spans="1:13" ht="15" customHeight="1">
      <c r="A319" s="1" t="s">
        <v>450</v>
      </c>
      <c r="B319" s="4">
        <v>45726</v>
      </c>
      <c r="C319" s="1" t="s">
        <v>80</v>
      </c>
      <c r="D319" s="1" t="s">
        <v>132</v>
      </c>
      <c r="E319" s="1" t="s">
        <v>147</v>
      </c>
      <c r="F319" s="1" t="s">
        <v>126</v>
      </c>
      <c r="G319" s="1">
        <v>11.3</v>
      </c>
      <c r="H319" s="1">
        <v>15</v>
      </c>
      <c r="I319" s="1">
        <v>4</v>
      </c>
      <c r="J319" s="1">
        <v>80.900000000000006</v>
      </c>
      <c r="K319" s="1" t="s">
        <v>120</v>
      </c>
      <c r="L319" s="1" t="s">
        <v>121</v>
      </c>
      <c r="M319" s="1" t="s">
        <v>121</v>
      </c>
    </row>
    <row r="320" spans="1:13" ht="15" customHeight="1">
      <c r="A320" s="1" t="s">
        <v>451</v>
      </c>
      <c r="B320" s="4">
        <v>45902</v>
      </c>
      <c r="C320" s="1" t="s">
        <v>75</v>
      </c>
      <c r="D320" s="1" t="s">
        <v>117</v>
      </c>
      <c r="E320" s="1" t="s">
        <v>130</v>
      </c>
      <c r="F320" s="1" t="s">
        <v>128</v>
      </c>
      <c r="G320" s="1">
        <v>19.5</v>
      </c>
      <c r="H320" s="1">
        <v>70</v>
      </c>
      <c r="I320" s="1">
        <v>4</v>
      </c>
      <c r="J320" s="1">
        <v>87.6</v>
      </c>
      <c r="K320" s="1" t="s">
        <v>120</v>
      </c>
      <c r="L320" s="1" t="s">
        <v>121</v>
      </c>
      <c r="M320" s="1" t="s">
        <v>121</v>
      </c>
    </row>
    <row r="321" spans="1:13" ht="15" customHeight="1">
      <c r="A321" s="1" t="s">
        <v>452</v>
      </c>
      <c r="B321" s="4">
        <v>45949</v>
      </c>
      <c r="C321" s="1" t="s">
        <v>62</v>
      </c>
      <c r="D321" s="1" t="s">
        <v>125</v>
      </c>
      <c r="E321" s="1" t="s">
        <v>147</v>
      </c>
      <c r="F321" s="1" t="s">
        <v>119</v>
      </c>
      <c r="G321" s="1">
        <v>9.6</v>
      </c>
      <c r="H321" s="1">
        <v>48</v>
      </c>
      <c r="I321" s="1">
        <v>4</v>
      </c>
      <c r="J321" s="1">
        <v>88.9</v>
      </c>
      <c r="K321" s="1" t="s">
        <v>120</v>
      </c>
      <c r="L321" s="1" t="s">
        <v>121</v>
      </c>
      <c r="M321" s="1" t="s">
        <v>121</v>
      </c>
    </row>
    <row r="322" spans="1:13" ht="15" customHeight="1">
      <c r="A322" s="1" t="s">
        <v>453</v>
      </c>
      <c r="B322" s="4">
        <v>45726</v>
      </c>
      <c r="C322" s="1" t="s">
        <v>54</v>
      </c>
      <c r="D322" s="1" t="s">
        <v>117</v>
      </c>
      <c r="E322" s="1" t="s">
        <v>130</v>
      </c>
      <c r="F322" s="1" t="s">
        <v>128</v>
      </c>
      <c r="G322" s="1">
        <v>16.7</v>
      </c>
      <c r="H322" s="1">
        <v>77</v>
      </c>
      <c r="I322" s="1">
        <v>4</v>
      </c>
      <c r="J322" s="1">
        <v>75.7</v>
      </c>
      <c r="K322" s="1" t="s">
        <v>120</v>
      </c>
      <c r="L322" s="1" t="s">
        <v>121</v>
      </c>
      <c r="M322" s="1" t="s">
        <v>138</v>
      </c>
    </row>
    <row r="323" spans="1:13" ht="15" customHeight="1">
      <c r="A323" s="1" t="s">
        <v>454</v>
      </c>
      <c r="B323" s="4">
        <v>45764</v>
      </c>
      <c r="C323" s="1" t="s">
        <v>67</v>
      </c>
      <c r="D323" s="1" t="s">
        <v>125</v>
      </c>
      <c r="E323" s="1" t="s">
        <v>123</v>
      </c>
      <c r="F323" s="1" t="s">
        <v>119</v>
      </c>
      <c r="G323" s="1">
        <v>7.9</v>
      </c>
      <c r="H323" s="1">
        <v>52</v>
      </c>
      <c r="I323" s="1">
        <v>4</v>
      </c>
      <c r="J323" s="1">
        <v>93.3</v>
      </c>
      <c r="K323" s="1" t="s">
        <v>120</v>
      </c>
      <c r="L323" s="1" t="s">
        <v>121</v>
      </c>
      <c r="M323" s="1" t="s">
        <v>138</v>
      </c>
    </row>
    <row r="324" spans="1:13" ht="15" customHeight="1">
      <c r="A324" s="1" t="s">
        <v>455</v>
      </c>
      <c r="B324" s="4">
        <v>45710</v>
      </c>
      <c r="C324" s="1" t="s">
        <v>78</v>
      </c>
      <c r="D324" s="1" t="s">
        <v>125</v>
      </c>
      <c r="E324" s="1" t="s">
        <v>130</v>
      </c>
      <c r="F324" s="1" t="s">
        <v>119</v>
      </c>
      <c r="G324" s="1">
        <v>14.5</v>
      </c>
      <c r="H324" s="1">
        <v>35</v>
      </c>
      <c r="I324" s="1">
        <v>4</v>
      </c>
      <c r="J324" s="1">
        <v>100</v>
      </c>
      <c r="K324" s="1" t="s">
        <v>120</v>
      </c>
      <c r="L324" s="1" t="s">
        <v>121</v>
      </c>
      <c r="M324" s="1" t="s">
        <v>121</v>
      </c>
    </row>
    <row r="325" spans="1:13" ht="15" customHeight="1">
      <c r="A325" s="1" t="s">
        <v>456</v>
      </c>
      <c r="B325" s="4">
        <v>45865</v>
      </c>
      <c r="C325" s="1" t="s">
        <v>88</v>
      </c>
      <c r="D325" s="1" t="s">
        <v>132</v>
      </c>
      <c r="E325" s="1" t="s">
        <v>123</v>
      </c>
      <c r="F325" s="1" t="s">
        <v>119</v>
      </c>
      <c r="G325" s="1">
        <v>13.1</v>
      </c>
      <c r="H325" s="1">
        <v>14</v>
      </c>
      <c r="I325" s="1">
        <v>3</v>
      </c>
      <c r="J325" s="1">
        <v>81.7</v>
      </c>
      <c r="K325" s="1" t="s">
        <v>120</v>
      </c>
      <c r="L325" s="1" t="s">
        <v>121</v>
      </c>
      <c r="M325" s="1" t="s">
        <v>121</v>
      </c>
    </row>
    <row r="326" spans="1:13" ht="15" customHeight="1">
      <c r="A326" s="1" t="s">
        <v>457</v>
      </c>
      <c r="B326" s="4">
        <v>45903</v>
      </c>
      <c r="C326" s="1" t="s">
        <v>98</v>
      </c>
      <c r="D326" s="1" t="s">
        <v>117</v>
      </c>
      <c r="E326" s="1" t="s">
        <v>147</v>
      </c>
      <c r="F326" s="1" t="s">
        <v>128</v>
      </c>
      <c r="G326" s="1">
        <v>14.8</v>
      </c>
      <c r="H326" s="1">
        <v>44</v>
      </c>
      <c r="I326" s="1">
        <v>3</v>
      </c>
      <c r="J326" s="1">
        <v>90.7</v>
      </c>
      <c r="K326" s="1" t="s">
        <v>120</v>
      </c>
      <c r="L326" s="1" t="s">
        <v>138</v>
      </c>
      <c r="M326" s="1" t="s">
        <v>121</v>
      </c>
    </row>
    <row r="327" spans="1:13" ht="15" customHeight="1">
      <c r="A327" s="1" t="s">
        <v>458</v>
      </c>
      <c r="B327" s="4">
        <v>45948</v>
      </c>
      <c r="C327" s="1" t="s">
        <v>73</v>
      </c>
      <c r="D327" s="1" t="s">
        <v>132</v>
      </c>
      <c r="E327" s="1" t="s">
        <v>134</v>
      </c>
      <c r="F327" s="1" t="s">
        <v>128</v>
      </c>
      <c r="G327" s="1">
        <v>31.5</v>
      </c>
      <c r="H327" s="1">
        <v>34</v>
      </c>
      <c r="I327" s="1">
        <v>1</v>
      </c>
      <c r="J327" s="1">
        <v>88.8</v>
      </c>
      <c r="K327" s="1" t="s">
        <v>120</v>
      </c>
      <c r="L327" s="1" t="s">
        <v>138</v>
      </c>
      <c r="M327" s="1" t="s">
        <v>121</v>
      </c>
    </row>
    <row r="328" spans="1:13" ht="15" customHeight="1">
      <c r="A328" s="1" t="s">
        <v>459</v>
      </c>
      <c r="B328" s="4">
        <v>45858</v>
      </c>
      <c r="C328" s="1" t="s">
        <v>49</v>
      </c>
      <c r="D328" s="1" t="s">
        <v>117</v>
      </c>
      <c r="E328" s="1" t="s">
        <v>134</v>
      </c>
      <c r="F328" s="1" t="s">
        <v>126</v>
      </c>
      <c r="G328" s="1">
        <v>29.5</v>
      </c>
      <c r="H328" s="1">
        <v>72</v>
      </c>
      <c r="I328" s="1">
        <v>4</v>
      </c>
      <c r="J328" s="1">
        <v>90.4</v>
      </c>
      <c r="K328" s="1" t="s">
        <v>120</v>
      </c>
      <c r="L328" s="1" t="s">
        <v>121</v>
      </c>
      <c r="M328" s="1" t="s">
        <v>121</v>
      </c>
    </row>
    <row r="329" spans="1:13" ht="15" customHeight="1">
      <c r="A329" s="1" t="s">
        <v>460</v>
      </c>
      <c r="B329" s="4">
        <v>45888</v>
      </c>
      <c r="C329" s="1" t="s">
        <v>41</v>
      </c>
      <c r="D329" s="1" t="s">
        <v>117</v>
      </c>
      <c r="E329" s="1" t="s">
        <v>145</v>
      </c>
      <c r="F329" s="1" t="s">
        <v>126</v>
      </c>
      <c r="G329" s="1">
        <v>37.799999999999997</v>
      </c>
      <c r="H329" s="1">
        <v>37</v>
      </c>
      <c r="I329" s="1">
        <v>3</v>
      </c>
      <c r="J329" s="1">
        <v>77.3</v>
      </c>
      <c r="K329" s="1" t="s">
        <v>120</v>
      </c>
      <c r="L329" s="1" t="s">
        <v>121</v>
      </c>
      <c r="M329" s="1" t="s">
        <v>121</v>
      </c>
    </row>
    <row r="330" spans="1:13" ht="15" customHeight="1">
      <c r="A330" s="1" t="s">
        <v>461</v>
      </c>
      <c r="B330" s="4">
        <v>45693</v>
      </c>
      <c r="C330" s="1" t="s">
        <v>92</v>
      </c>
      <c r="D330" s="1" t="s">
        <v>117</v>
      </c>
      <c r="E330" s="1" t="s">
        <v>145</v>
      </c>
      <c r="F330" s="1" t="s">
        <v>128</v>
      </c>
      <c r="G330" s="1">
        <v>24</v>
      </c>
      <c r="H330" s="1">
        <v>30</v>
      </c>
      <c r="I330" s="1">
        <v>3</v>
      </c>
      <c r="J330" s="1">
        <v>88.2</v>
      </c>
      <c r="K330" s="1" t="s">
        <v>120</v>
      </c>
      <c r="L330" s="1" t="s">
        <v>121</v>
      </c>
      <c r="M330" s="1" t="s">
        <v>121</v>
      </c>
    </row>
    <row r="331" spans="1:13" ht="15" customHeight="1">
      <c r="A331" s="1" t="s">
        <v>462</v>
      </c>
      <c r="B331" s="4">
        <v>45940</v>
      </c>
      <c r="C331" s="1" t="s">
        <v>84</v>
      </c>
      <c r="D331" s="1" t="s">
        <v>117</v>
      </c>
      <c r="E331" s="1" t="s">
        <v>118</v>
      </c>
      <c r="F331" s="1" t="s">
        <v>128</v>
      </c>
      <c r="G331" s="1">
        <v>18.899999999999999</v>
      </c>
      <c r="H331" s="1">
        <v>39</v>
      </c>
      <c r="I331" s="1">
        <v>4</v>
      </c>
      <c r="J331" s="1">
        <v>97.5</v>
      </c>
      <c r="K331" s="1" t="s">
        <v>120</v>
      </c>
      <c r="L331" s="1" t="s">
        <v>121</v>
      </c>
      <c r="M331" s="1" t="s">
        <v>121</v>
      </c>
    </row>
    <row r="332" spans="1:13" ht="15" customHeight="1">
      <c r="A332" s="1" t="s">
        <v>463</v>
      </c>
      <c r="B332" s="4">
        <v>45716</v>
      </c>
      <c r="C332" s="1" t="s">
        <v>60</v>
      </c>
      <c r="D332" s="1" t="s">
        <v>117</v>
      </c>
      <c r="E332" s="1" t="s">
        <v>134</v>
      </c>
      <c r="F332" s="1" t="s">
        <v>128</v>
      </c>
      <c r="G332" s="1">
        <v>27.7</v>
      </c>
      <c r="H332" s="1">
        <v>35</v>
      </c>
      <c r="I332" s="1">
        <v>4</v>
      </c>
      <c r="J332" s="1">
        <v>76.7</v>
      </c>
      <c r="K332" s="1" t="s">
        <v>120</v>
      </c>
      <c r="L332" s="1" t="s">
        <v>121</v>
      </c>
      <c r="M332" s="1" t="s">
        <v>121</v>
      </c>
    </row>
    <row r="333" spans="1:13" ht="15" customHeight="1">
      <c r="A333" s="1" t="s">
        <v>464</v>
      </c>
      <c r="B333" s="4">
        <v>45951</v>
      </c>
      <c r="C333" s="1" t="s">
        <v>80</v>
      </c>
      <c r="D333" s="1" t="s">
        <v>132</v>
      </c>
      <c r="E333" s="1" t="s">
        <v>123</v>
      </c>
      <c r="F333" s="1" t="s">
        <v>128</v>
      </c>
      <c r="G333" s="1">
        <v>28.6</v>
      </c>
      <c r="H333" s="1">
        <v>26</v>
      </c>
      <c r="I333" s="1">
        <v>5</v>
      </c>
      <c r="J333" s="1">
        <v>87.9</v>
      </c>
      <c r="K333" s="1" t="s">
        <v>120</v>
      </c>
      <c r="L333" s="1" t="s">
        <v>121</v>
      </c>
      <c r="M333" s="1" t="s">
        <v>121</v>
      </c>
    </row>
    <row r="334" spans="1:13" ht="15" customHeight="1">
      <c r="A334" s="1" t="s">
        <v>465</v>
      </c>
      <c r="B334" s="4">
        <v>45931</v>
      </c>
      <c r="C334" s="1" t="s">
        <v>77</v>
      </c>
      <c r="D334" s="1" t="s">
        <v>132</v>
      </c>
      <c r="E334" s="1" t="s">
        <v>134</v>
      </c>
      <c r="F334" s="1" t="s">
        <v>126</v>
      </c>
      <c r="G334" s="1">
        <v>28.6</v>
      </c>
      <c r="H334" s="1">
        <v>24</v>
      </c>
      <c r="I334" s="1">
        <v>2</v>
      </c>
      <c r="J334" s="1">
        <v>74.3</v>
      </c>
      <c r="K334" s="1" t="s">
        <v>120</v>
      </c>
      <c r="L334" s="1" t="s">
        <v>138</v>
      </c>
      <c r="M334" s="1" t="s">
        <v>121</v>
      </c>
    </row>
    <row r="335" spans="1:13" ht="15" customHeight="1">
      <c r="A335" s="1" t="s">
        <v>466</v>
      </c>
      <c r="B335" s="4">
        <v>45926</v>
      </c>
      <c r="C335" s="1" t="s">
        <v>62</v>
      </c>
      <c r="D335" s="1" t="s">
        <v>132</v>
      </c>
      <c r="E335" s="1" t="s">
        <v>118</v>
      </c>
      <c r="F335" s="1" t="s">
        <v>128</v>
      </c>
      <c r="G335" s="1">
        <v>22.3</v>
      </c>
      <c r="H335" s="1">
        <v>42</v>
      </c>
      <c r="I335" s="1">
        <v>2</v>
      </c>
      <c r="J335" s="1">
        <v>86.3</v>
      </c>
      <c r="K335" s="1" t="s">
        <v>120</v>
      </c>
      <c r="L335" s="1" t="s">
        <v>121</v>
      </c>
      <c r="M335" s="1" t="s">
        <v>121</v>
      </c>
    </row>
    <row r="336" spans="1:13" ht="15" customHeight="1">
      <c r="A336" s="1" t="s">
        <v>467</v>
      </c>
      <c r="B336" s="4">
        <v>45662</v>
      </c>
      <c r="C336" s="1" t="s">
        <v>67</v>
      </c>
      <c r="D336" s="1" t="s">
        <v>132</v>
      </c>
      <c r="E336" s="1" t="s">
        <v>130</v>
      </c>
      <c r="F336" s="1" t="s">
        <v>126</v>
      </c>
      <c r="G336" s="1">
        <v>9.1</v>
      </c>
      <c r="H336" s="1">
        <v>42</v>
      </c>
      <c r="I336" s="1">
        <v>5</v>
      </c>
      <c r="J336" s="1">
        <v>79</v>
      </c>
      <c r="K336" s="1" t="s">
        <v>120</v>
      </c>
      <c r="L336" s="1" t="s">
        <v>121</v>
      </c>
      <c r="M336" s="1" t="s">
        <v>121</v>
      </c>
    </row>
    <row r="337" spans="1:13" ht="15" customHeight="1">
      <c r="A337" s="1" t="s">
        <v>468</v>
      </c>
      <c r="B337" s="4">
        <v>45983</v>
      </c>
      <c r="C337" s="1" t="s">
        <v>77</v>
      </c>
      <c r="D337" s="1" t="s">
        <v>132</v>
      </c>
      <c r="E337" s="1" t="s">
        <v>118</v>
      </c>
      <c r="F337" s="1" t="s">
        <v>128</v>
      </c>
      <c r="G337" s="1">
        <v>11.7</v>
      </c>
      <c r="H337" s="1">
        <v>18</v>
      </c>
      <c r="I337" s="1">
        <v>4</v>
      </c>
      <c r="J337" s="1">
        <v>88.5</v>
      </c>
      <c r="K337" s="1" t="s">
        <v>120</v>
      </c>
      <c r="L337" s="1" t="s">
        <v>121</v>
      </c>
      <c r="M337" s="1" t="s">
        <v>121</v>
      </c>
    </row>
    <row r="338" spans="1:13" ht="15" customHeight="1">
      <c r="A338" s="1" t="s">
        <v>469</v>
      </c>
      <c r="B338" s="4">
        <v>45956</v>
      </c>
      <c r="C338" s="1" t="s">
        <v>41</v>
      </c>
      <c r="D338" s="1" t="s">
        <v>125</v>
      </c>
      <c r="E338" s="1" t="s">
        <v>118</v>
      </c>
      <c r="F338" s="1" t="s">
        <v>128</v>
      </c>
      <c r="G338" s="1">
        <v>23.4</v>
      </c>
      <c r="H338" s="1">
        <v>9</v>
      </c>
      <c r="I338" s="1">
        <v>4</v>
      </c>
      <c r="J338" s="1">
        <v>93.8</v>
      </c>
      <c r="K338" s="1" t="s">
        <v>120</v>
      </c>
      <c r="L338" s="1" t="s">
        <v>121</v>
      </c>
      <c r="M338" s="1" t="s">
        <v>121</v>
      </c>
    </row>
    <row r="339" spans="1:13" ht="15" customHeight="1">
      <c r="A339" s="1" t="s">
        <v>470</v>
      </c>
      <c r="B339" s="4">
        <v>45835</v>
      </c>
      <c r="C339" s="1" t="s">
        <v>86</v>
      </c>
      <c r="D339" s="1" t="s">
        <v>132</v>
      </c>
      <c r="E339" s="1" t="s">
        <v>123</v>
      </c>
      <c r="F339" s="1" t="s">
        <v>126</v>
      </c>
      <c r="G339" s="1">
        <v>0.5</v>
      </c>
      <c r="H339" s="1">
        <v>31</v>
      </c>
      <c r="I339" s="1">
        <v>5</v>
      </c>
      <c r="J339" s="1">
        <v>93.1</v>
      </c>
      <c r="K339" s="1" t="s">
        <v>159</v>
      </c>
      <c r="L339" s="1" t="s">
        <v>121</v>
      </c>
      <c r="M339" s="1" t="s">
        <v>121</v>
      </c>
    </row>
    <row r="340" spans="1:13" ht="15" customHeight="1">
      <c r="A340" s="1" t="s">
        <v>471</v>
      </c>
      <c r="B340" s="4">
        <v>45910</v>
      </c>
      <c r="C340" s="1" t="s">
        <v>67</v>
      </c>
      <c r="D340" s="1" t="s">
        <v>125</v>
      </c>
      <c r="E340" s="1" t="s">
        <v>123</v>
      </c>
      <c r="F340" s="1" t="s">
        <v>126</v>
      </c>
      <c r="G340" s="1">
        <v>51.2</v>
      </c>
      <c r="H340" s="1">
        <v>35</v>
      </c>
      <c r="I340" s="1">
        <v>5</v>
      </c>
      <c r="J340" s="1">
        <v>82.3</v>
      </c>
      <c r="K340" s="1" t="s">
        <v>120</v>
      </c>
      <c r="L340" s="1" t="s">
        <v>121</v>
      </c>
      <c r="M340" s="1" t="s">
        <v>121</v>
      </c>
    </row>
    <row r="341" spans="1:13" ht="15" customHeight="1">
      <c r="A341" s="1" t="s">
        <v>472</v>
      </c>
      <c r="B341" s="4">
        <v>45823</v>
      </c>
      <c r="C341" s="1" t="s">
        <v>56</v>
      </c>
      <c r="D341" s="1" t="s">
        <v>132</v>
      </c>
      <c r="E341" s="1" t="s">
        <v>145</v>
      </c>
      <c r="F341" s="1" t="s">
        <v>126</v>
      </c>
      <c r="G341" s="1">
        <v>35.200000000000003</v>
      </c>
      <c r="H341" s="1">
        <v>46</v>
      </c>
      <c r="I341" s="1">
        <v>5</v>
      </c>
      <c r="J341" s="1">
        <v>70.3</v>
      </c>
      <c r="K341" s="1" t="s">
        <v>120</v>
      </c>
      <c r="L341" s="1" t="s">
        <v>121</v>
      </c>
      <c r="M341" s="1" t="s">
        <v>121</v>
      </c>
    </row>
    <row r="342" spans="1:13" ht="15" customHeight="1">
      <c r="A342" s="1" t="s">
        <v>473</v>
      </c>
      <c r="B342" s="4">
        <v>45744</v>
      </c>
      <c r="C342" s="1" t="s">
        <v>41</v>
      </c>
      <c r="D342" s="1" t="s">
        <v>117</v>
      </c>
      <c r="E342" s="1" t="s">
        <v>147</v>
      </c>
      <c r="F342" s="1" t="s">
        <v>128</v>
      </c>
      <c r="G342" s="1">
        <v>28.4</v>
      </c>
      <c r="H342" s="1">
        <v>30</v>
      </c>
      <c r="I342" s="1">
        <v>3</v>
      </c>
      <c r="J342" s="1">
        <v>96.7</v>
      </c>
      <c r="K342" s="1" t="s">
        <v>120</v>
      </c>
      <c r="L342" s="1" t="s">
        <v>121</v>
      </c>
      <c r="M342" s="1" t="s">
        <v>121</v>
      </c>
    </row>
    <row r="343" spans="1:13" ht="15" customHeight="1">
      <c r="A343" s="1" t="s">
        <v>474</v>
      </c>
      <c r="B343" s="4">
        <v>45737</v>
      </c>
      <c r="C343" s="1" t="s">
        <v>84</v>
      </c>
      <c r="D343" s="1" t="s">
        <v>125</v>
      </c>
      <c r="E343" s="1" t="s">
        <v>134</v>
      </c>
      <c r="F343" s="1" t="s">
        <v>135</v>
      </c>
      <c r="G343" s="1">
        <v>4.5999999999999996</v>
      </c>
      <c r="H343" s="1">
        <v>25</v>
      </c>
      <c r="I343" s="1">
        <v>4</v>
      </c>
      <c r="J343" s="1">
        <v>83</v>
      </c>
      <c r="K343" s="1" t="s">
        <v>120</v>
      </c>
      <c r="L343" s="1" t="s">
        <v>121</v>
      </c>
      <c r="M343" s="1" t="s">
        <v>138</v>
      </c>
    </row>
    <row r="344" spans="1:13" ht="15" customHeight="1">
      <c r="A344" s="1" t="s">
        <v>475</v>
      </c>
      <c r="B344" s="4">
        <v>45897</v>
      </c>
      <c r="C344" s="1" t="s">
        <v>67</v>
      </c>
      <c r="D344" s="1" t="s">
        <v>132</v>
      </c>
      <c r="E344" s="1" t="s">
        <v>134</v>
      </c>
      <c r="F344" s="1" t="s">
        <v>126</v>
      </c>
      <c r="G344" s="1">
        <v>44.4</v>
      </c>
      <c r="H344" s="1">
        <v>51</v>
      </c>
      <c r="I344" s="1">
        <v>4</v>
      </c>
      <c r="J344" s="1">
        <v>72.099999999999994</v>
      </c>
      <c r="K344" s="1" t="s">
        <v>120</v>
      </c>
      <c r="L344" s="1" t="s">
        <v>121</v>
      </c>
      <c r="M344" s="1" t="s">
        <v>121</v>
      </c>
    </row>
    <row r="345" spans="1:13" ht="15" customHeight="1">
      <c r="A345" s="1" t="s">
        <v>476</v>
      </c>
      <c r="B345" s="4">
        <v>45993</v>
      </c>
      <c r="C345" s="1" t="s">
        <v>77</v>
      </c>
      <c r="D345" s="1" t="s">
        <v>125</v>
      </c>
      <c r="E345" s="1" t="s">
        <v>118</v>
      </c>
      <c r="F345" s="1" t="s">
        <v>126</v>
      </c>
      <c r="G345" s="1">
        <v>57.5</v>
      </c>
      <c r="H345" s="1">
        <v>54</v>
      </c>
      <c r="I345" s="1">
        <v>5</v>
      </c>
      <c r="J345" s="1">
        <v>91.2</v>
      </c>
      <c r="K345" s="1" t="s">
        <v>120</v>
      </c>
      <c r="L345" s="1" t="s">
        <v>121</v>
      </c>
      <c r="M345" s="1" t="s">
        <v>121</v>
      </c>
    </row>
    <row r="346" spans="1:13" ht="15" customHeight="1">
      <c r="A346" s="1" t="s">
        <v>477</v>
      </c>
      <c r="B346" s="4">
        <v>45752</v>
      </c>
      <c r="C346" s="1" t="s">
        <v>67</v>
      </c>
      <c r="D346" s="1" t="s">
        <v>125</v>
      </c>
      <c r="E346" s="1" t="s">
        <v>147</v>
      </c>
      <c r="F346" s="1" t="s">
        <v>126</v>
      </c>
      <c r="G346" s="1">
        <v>34</v>
      </c>
      <c r="H346" s="1">
        <v>53</v>
      </c>
      <c r="I346" s="1">
        <v>4</v>
      </c>
      <c r="J346" s="1">
        <v>82.2</v>
      </c>
      <c r="K346" s="1" t="s">
        <v>120</v>
      </c>
      <c r="L346" s="1" t="s">
        <v>121</v>
      </c>
      <c r="M346" s="1" t="s">
        <v>121</v>
      </c>
    </row>
    <row r="347" spans="1:13" ht="15" customHeight="1">
      <c r="A347" s="1" t="s">
        <v>478</v>
      </c>
      <c r="B347" s="4">
        <v>45678</v>
      </c>
      <c r="C347" s="1" t="s">
        <v>80</v>
      </c>
      <c r="D347" s="1" t="s">
        <v>132</v>
      </c>
      <c r="E347" s="1" t="s">
        <v>118</v>
      </c>
      <c r="F347" s="1" t="s">
        <v>119</v>
      </c>
      <c r="G347" s="1">
        <v>9.5</v>
      </c>
      <c r="H347" s="1">
        <v>1</v>
      </c>
      <c r="I347" s="1">
        <v>3</v>
      </c>
      <c r="J347" s="1">
        <v>100</v>
      </c>
      <c r="K347" s="1" t="s">
        <v>120</v>
      </c>
      <c r="L347" s="1" t="s">
        <v>121</v>
      </c>
      <c r="M347" s="1" t="s">
        <v>138</v>
      </c>
    </row>
    <row r="348" spans="1:13" ht="15" customHeight="1">
      <c r="A348" s="1" t="s">
        <v>479</v>
      </c>
      <c r="B348" s="4">
        <v>45678</v>
      </c>
      <c r="C348" s="1" t="s">
        <v>46</v>
      </c>
      <c r="D348" s="1" t="s">
        <v>125</v>
      </c>
      <c r="E348" s="1" t="s">
        <v>134</v>
      </c>
      <c r="F348" s="1" t="s">
        <v>135</v>
      </c>
      <c r="G348" s="1">
        <v>4.8</v>
      </c>
      <c r="H348" s="1">
        <v>17</v>
      </c>
      <c r="I348" s="1">
        <v>5</v>
      </c>
      <c r="J348" s="1">
        <v>86.9</v>
      </c>
      <c r="K348" s="1" t="s">
        <v>120</v>
      </c>
      <c r="L348" s="1" t="s">
        <v>121</v>
      </c>
      <c r="M348" s="1" t="s">
        <v>138</v>
      </c>
    </row>
    <row r="349" spans="1:13" ht="15" customHeight="1">
      <c r="A349" s="1" t="s">
        <v>480</v>
      </c>
      <c r="B349" s="4">
        <v>45936</v>
      </c>
      <c r="C349" s="1" t="s">
        <v>98</v>
      </c>
      <c r="D349" s="1" t="s">
        <v>132</v>
      </c>
      <c r="E349" s="1" t="s">
        <v>134</v>
      </c>
      <c r="F349" s="1" t="s">
        <v>135</v>
      </c>
      <c r="G349" s="1">
        <v>0.5</v>
      </c>
      <c r="H349" s="1">
        <v>33</v>
      </c>
      <c r="I349" s="1">
        <v>5</v>
      </c>
      <c r="J349" s="1">
        <v>91.7</v>
      </c>
      <c r="K349" s="1" t="s">
        <v>120</v>
      </c>
      <c r="L349" s="1" t="s">
        <v>121</v>
      </c>
      <c r="M349" s="1" t="s">
        <v>121</v>
      </c>
    </row>
    <row r="350" spans="1:13" ht="15" customHeight="1">
      <c r="A350" s="1" t="s">
        <v>481</v>
      </c>
      <c r="B350" s="4">
        <v>45792</v>
      </c>
      <c r="C350" s="1" t="s">
        <v>92</v>
      </c>
      <c r="D350" s="1" t="s">
        <v>125</v>
      </c>
      <c r="E350" s="1" t="s">
        <v>147</v>
      </c>
      <c r="F350" s="1" t="s">
        <v>126</v>
      </c>
      <c r="G350" s="1">
        <v>61</v>
      </c>
      <c r="H350" s="1">
        <v>48</v>
      </c>
      <c r="I350" s="1">
        <v>4</v>
      </c>
      <c r="J350" s="1">
        <v>89.7</v>
      </c>
      <c r="K350" s="1" t="s">
        <v>120</v>
      </c>
      <c r="L350" s="1" t="s">
        <v>121</v>
      </c>
      <c r="M350" s="1" t="s">
        <v>121</v>
      </c>
    </row>
    <row r="351" spans="1:13" ht="15" customHeight="1">
      <c r="A351" s="1" t="s">
        <v>482</v>
      </c>
      <c r="B351" s="4">
        <v>45724</v>
      </c>
      <c r="C351" s="1" t="s">
        <v>73</v>
      </c>
      <c r="D351" s="1" t="s">
        <v>117</v>
      </c>
      <c r="E351" s="1" t="s">
        <v>130</v>
      </c>
      <c r="F351" s="1" t="s">
        <v>135</v>
      </c>
      <c r="G351" s="1">
        <v>5.5</v>
      </c>
      <c r="H351" s="1">
        <v>10</v>
      </c>
      <c r="I351" s="1">
        <v>5</v>
      </c>
      <c r="J351" s="1">
        <v>80.8</v>
      </c>
      <c r="K351" s="1" t="s">
        <v>120</v>
      </c>
      <c r="L351" s="1" t="s">
        <v>121</v>
      </c>
      <c r="M351" s="1" t="s">
        <v>138</v>
      </c>
    </row>
    <row r="352" spans="1:13" ht="15" customHeight="1">
      <c r="A352" s="1" t="s">
        <v>483</v>
      </c>
      <c r="B352" s="4">
        <v>45960</v>
      </c>
      <c r="C352" s="1" t="s">
        <v>92</v>
      </c>
      <c r="D352" s="1" t="s">
        <v>125</v>
      </c>
      <c r="E352" s="1" t="s">
        <v>130</v>
      </c>
      <c r="F352" s="1" t="s">
        <v>128</v>
      </c>
      <c r="G352" s="1">
        <v>13</v>
      </c>
      <c r="H352" s="1">
        <v>61</v>
      </c>
      <c r="I352" s="1">
        <v>5</v>
      </c>
      <c r="J352" s="1">
        <v>88.6</v>
      </c>
      <c r="K352" s="1" t="s">
        <v>159</v>
      </c>
      <c r="L352" s="1" t="s">
        <v>121</v>
      </c>
      <c r="M352" s="1" t="s">
        <v>121</v>
      </c>
    </row>
    <row r="353" spans="1:13" ht="15" customHeight="1">
      <c r="A353" s="1" t="s">
        <v>484</v>
      </c>
      <c r="B353" s="4">
        <v>45693</v>
      </c>
      <c r="C353" s="1" t="s">
        <v>98</v>
      </c>
      <c r="D353" s="1" t="s">
        <v>132</v>
      </c>
      <c r="E353" s="1" t="s">
        <v>130</v>
      </c>
      <c r="F353" s="1" t="s">
        <v>126</v>
      </c>
      <c r="G353" s="1">
        <v>68.099999999999994</v>
      </c>
      <c r="H353" s="1">
        <v>83</v>
      </c>
      <c r="I353" s="1">
        <v>2</v>
      </c>
      <c r="J353" s="1">
        <v>73.5</v>
      </c>
      <c r="K353" s="1" t="s">
        <v>120</v>
      </c>
      <c r="L353" s="1" t="s">
        <v>121</v>
      </c>
      <c r="M353" s="1" t="s">
        <v>121</v>
      </c>
    </row>
    <row r="354" spans="1:13" ht="15" customHeight="1">
      <c r="A354" s="1" t="s">
        <v>485</v>
      </c>
      <c r="B354" s="4">
        <v>45722</v>
      </c>
      <c r="C354" s="1" t="s">
        <v>88</v>
      </c>
      <c r="D354" s="1" t="s">
        <v>132</v>
      </c>
      <c r="E354" s="1" t="s">
        <v>123</v>
      </c>
      <c r="F354" s="1" t="s">
        <v>126</v>
      </c>
      <c r="G354" s="1">
        <v>65.900000000000006</v>
      </c>
      <c r="H354" s="1">
        <v>21</v>
      </c>
      <c r="I354" s="1">
        <v>4</v>
      </c>
      <c r="J354" s="1">
        <v>65</v>
      </c>
      <c r="K354" s="1" t="s">
        <v>120</v>
      </c>
      <c r="L354" s="1" t="s">
        <v>121</v>
      </c>
      <c r="M354" s="1" t="s">
        <v>121</v>
      </c>
    </row>
    <row r="355" spans="1:13" ht="15" customHeight="1">
      <c r="A355" s="1" t="s">
        <v>486</v>
      </c>
      <c r="B355" s="4">
        <v>45702</v>
      </c>
      <c r="C355" s="1" t="s">
        <v>41</v>
      </c>
      <c r="D355" s="1" t="s">
        <v>132</v>
      </c>
      <c r="E355" s="1" t="s">
        <v>145</v>
      </c>
      <c r="F355" s="1" t="s">
        <v>128</v>
      </c>
      <c r="G355" s="1">
        <v>1.7</v>
      </c>
      <c r="H355" s="1">
        <v>45</v>
      </c>
      <c r="I355" s="1">
        <v>4</v>
      </c>
      <c r="J355" s="1">
        <v>85.8</v>
      </c>
      <c r="K355" s="1" t="s">
        <v>120</v>
      </c>
      <c r="L355" s="1" t="s">
        <v>121</v>
      </c>
      <c r="M355" s="1" t="s">
        <v>121</v>
      </c>
    </row>
    <row r="356" spans="1:13" ht="15" customHeight="1">
      <c r="A356" s="1" t="s">
        <v>487</v>
      </c>
      <c r="B356" s="4">
        <v>45976</v>
      </c>
      <c r="C356" s="1" t="s">
        <v>90</v>
      </c>
      <c r="D356" s="1" t="s">
        <v>132</v>
      </c>
      <c r="E356" s="1" t="s">
        <v>147</v>
      </c>
      <c r="F356" s="1" t="s">
        <v>128</v>
      </c>
      <c r="G356" s="1">
        <v>8.9</v>
      </c>
      <c r="H356" s="1">
        <v>69</v>
      </c>
      <c r="I356" s="1">
        <v>3</v>
      </c>
      <c r="J356" s="1">
        <v>95.3</v>
      </c>
      <c r="K356" s="1" t="s">
        <v>120</v>
      </c>
      <c r="L356" s="1" t="s">
        <v>121</v>
      </c>
      <c r="M356" s="1" t="s">
        <v>121</v>
      </c>
    </row>
    <row r="357" spans="1:13" ht="15" customHeight="1">
      <c r="A357" s="1" t="s">
        <v>488</v>
      </c>
      <c r="B357" s="4">
        <v>45954</v>
      </c>
      <c r="C357" s="1" t="s">
        <v>90</v>
      </c>
      <c r="D357" s="1" t="s">
        <v>132</v>
      </c>
      <c r="E357" s="1" t="s">
        <v>145</v>
      </c>
      <c r="F357" s="1" t="s">
        <v>126</v>
      </c>
      <c r="G357" s="1">
        <v>45.7</v>
      </c>
      <c r="H357" s="1">
        <v>46</v>
      </c>
      <c r="I357" s="1">
        <v>4</v>
      </c>
      <c r="J357" s="1">
        <v>83.1</v>
      </c>
      <c r="K357" s="1" t="s">
        <v>120</v>
      </c>
      <c r="L357" s="1" t="s">
        <v>121</v>
      </c>
      <c r="M357" s="1" t="s">
        <v>121</v>
      </c>
    </row>
    <row r="358" spans="1:13" ht="15" customHeight="1">
      <c r="A358" s="1" t="s">
        <v>489</v>
      </c>
      <c r="B358" s="4">
        <v>45771</v>
      </c>
      <c r="C358" s="1" t="s">
        <v>56</v>
      </c>
      <c r="D358" s="1" t="s">
        <v>125</v>
      </c>
      <c r="E358" s="1" t="s">
        <v>145</v>
      </c>
      <c r="F358" s="1" t="s">
        <v>119</v>
      </c>
      <c r="G358" s="1">
        <v>4.2</v>
      </c>
      <c r="H358" s="1">
        <v>1</v>
      </c>
      <c r="I358" s="1">
        <v>2</v>
      </c>
      <c r="J358" s="1">
        <v>93.8</v>
      </c>
      <c r="K358" s="1" t="s">
        <v>120</v>
      </c>
      <c r="L358" s="1" t="s">
        <v>121</v>
      </c>
      <c r="M358" s="1" t="s">
        <v>138</v>
      </c>
    </row>
    <row r="359" spans="1:13" ht="15" customHeight="1">
      <c r="A359" s="1" t="s">
        <v>490</v>
      </c>
      <c r="B359" s="4">
        <v>45955</v>
      </c>
      <c r="C359" s="1" t="s">
        <v>73</v>
      </c>
      <c r="D359" s="1" t="s">
        <v>125</v>
      </c>
      <c r="E359" s="1" t="s">
        <v>147</v>
      </c>
      <c r="F359" s="1" t="s">
        <v>119</v>
      </c>
      <c r="G359" s="1">
        <v>2.2999999999999998</v>
      </c>
      <c r="H359" s="1">
        <v>14</v>
      </c>
      <c r="I359" s="1">
        <v>5</v>
      </c>
      <c r="J359" s="1">
        <v>83.5</v>
      </c>
      <c r="K359" s="1" t="s">
        <v>120</v>
      </c>
      <c r="L359" s="1" t="s">
        <v>121</v>
      </c>
      <c r="M359" s="1" t="s">
        <v>138</v>
      </c>
    </row>
    <row r="360" spans="1:13" ht="15" customHeight="1">
      <c r="A360" s="1" t="s">
        <v>491</v>
      </c>
      <c r="B360" s="4">
        <v>46010</v>
      </c>
      <c r="C360" s="1" t="s">
        <v>41</v>
      </c>
      <c r="D360" s="1" t="s">
        <v>117</v>
      </c>
      <c r="E360" s="1" t="s">
        <v>147</v>
      </c>
      <c r="F360" s="1" t="s">
        <v>119</v>
      </c>
      <c r="G360" s="1">
        <v>3</v>
      </c>
      <c r="H360" s="1">
        <v>49</v>
      </c>
      <c r="I360" s="1">
        <v>5</v>
      </c>
      <c r="J360" s="1">
        <v>87.3</v>
      </c>
      <c r="K360" s="1" t="s">
        <v>120</v>
      </c>
      <c r="L360" s="1" t="s">
        <v>121</v>
      </c>
      <c r="M360" s="1" t="s">
        <v>138</v>
      </c>
    </row>
    <row r="361" spans="1:13" ht="15" customHeight="1">
      <c r="A361" s="1" t="s">
        <v>492</v>
      </c>
      <c r="B361" s="4">
        <v>45979</v>
      </c>
      <c r="C361" s="1" t="s">
        <v>92</v>
      </c>
      <c r="D361" s="1" t="s">
        <v>125</v>
      </c>
      <c r="E361" s="1" t="s">
        <v>118</v>
      </c>
      <c r="F361" s="1" t="s">
        <v>128</v>
      </c>
      <c r="G361" s="1">
        <v>10.4</v>
      </c>
      <c r="H361" s="1">
        <v>34</v>
      </c>
      <c r="I361" s="1">
        <v>4</v>
      </c>
      <c r="J361" s="1">
        <v>83.3</v>
      </c>
      <c r="K361" s="1" t="s">
        <v>120</v>
      </c>
      <c r="L361" s="1" t="s">
        <v>121</v>
      </c>
      <c r="M361" s="1" t="s">
        <v>121</v>
      </c>
    </row>
    <row r="362" spans="1:13" ht="15" customHeight="1">
      <c r="A362" s="1" t="s">
        <v>493</v>
      </c>
      <c r="B362" s="4">
        <v>46019</v>
      </c>
      <c r="C362" s="1" t="s">
        <v>69</v>
      </c>
      <c r="D362" s="1" t="s">
        <v>117</v>
      </c>
      <c r="E362" s="1" t="s">
        <v>118</v>
      </c>
      <c r="F362" s="1" t="s">
        <v>128</v>
      </c>
      <c r="G362" s="1">
        <v>36.4</v>
      </c>
      <c r="H362" s="1">
        <v>44</v>
      </c>
      <c r="I362" s="1">
        <v>5</v>
      </c>
      <c r="J362" s="1">
        <v>74.5</v>
      </c>
      <c r="K362" s="1" t="s">
        <v>159</v>
      </c>
      <c r="L362" s="1" t="s">
        <v>121</v>
      </c>
      <c r="M362" s="1" t="s">
        <v>121</v>
      </c>
    </row>
    <row r="363" spans="1:13" ht="15" customHeight="1">
      <c r="A363" s="1" t="s">
        <v>494</v>
      </c>
      <c r="B363" s="4">
        <v>45704</v>
      </c>
      <c r="C363" s="1" t="s">
        <v>75</v>
      </c>
      <c r="D363" s="1" t="s">
        <v>132</v>
      </c>
      <c r="E363" s="1" t="s">
        <v>118</v>
      </c>
      <c r="F363" s="1" t="s">
        <v>128</v>
      </c>
      <c r="G363" s="1">
        <v>29.5</v>
      </c>
      <c r="H363" s="1">
        <v>25</v>
      </c>
      <c r="I363" s="1">
        <v>5</v>
      </c>
      <c r="J363" s="1">
        <v>98</v>
      </c>
      <c r="K363" s="1" t="s">
        <v>120</v>
      </c>
      <c r="L363" s="1" t="s">
        <v>121</v>
      </c>
      <c r="M363" s="1" t="s">
        <v>121</v>
      </c>
    </row>
    <row r="364" spans="1:13" ht="15" customHeight="1">
      <c r="A364" s="1" t="s">
        <v>495</v>
      </c>
      <c r="B364" s="4">
        <v>45844</v>
      </c>
      <c r="C364" s="1" t="s">
        <v>84</v>
      </c>
      <c r="D364" s="1" t="s">
        <v>125</v>
      </c>
      <c r="E364" s="1" t="s">
        <v>123</v>
      </c>
      <c r="F364" s="1" t="s">
        <v>126</v>
      </c>
      <c r="G364" s="1">
        <v>21</v>
      </c>
      <c r="H364" s="1">
        <v>23</v>
      </c>
      <c r="I364" s="1">
        <v>2</v>
      </c>
      <c r="J364" s="1">
        <v>85.3</v>
      </c>
      <c r="K364" s="1" t="s">
        <v>120</v>
      </c>
      <c r="L364" s="1" t="s">
        <v>121</v>
      </c>
      <c r="M364" s="1" t="s">
        <v>121</v>
      </c>
    </row>
    <row r="365" spans="1:13" ht="15" customHeight="1">
      <c r="A365" s="1" t="s">
        <v>496</v>
      </c>
      <c r="B365" s="4">
        <v>45826</v>
      </c>
      <c r="C365" s="1" t="s">
        <v>78</v>
      </c>
      <c r="D365" s="1" t="s">
        <v>125</v>
      </c>
      <c r="E365" s="1" t="s">
        <v>147</v>
      </c>
      <c r="F365" s="1" t="s">
        <v>126</v>
      </c>
      <c r="G365" s="1">
        <v>11.8</v>
      </c>
      <c r="H365" s="1">
        <v>62</v>
      </c>
      <c r="I365" s="1">
        <v>5</v>
      </c>
      <c r="J365" s="1">
        <v>97.4</v>
      </c>
      <c r="K365" s="1" t="s">
        <v>120</v>
      </c>
      <c r="L365" s="1" t="s">
        <v>121</v>
      </c>
      <c r="M365" s="1" t="s">
        <v>121</v>
      </c>
    </row>
    <row r="366" spans="1:13" ht="15" customHeight="1">
      <c r="A366" s="1" t="s">
        <v>497</v>
      </c>
      <c r="B366" s="4">
        <v>45727</v>
      </c>
      <c r="C366" s="1" t="s">
        <v>41</v>
      </c>
      <c r="D366" s="1" t="s">
        <v>132</v>
      </c>
      <c r="E366" s="1" t="s">
        <v>145</v>
      </c>
      <c r="F366" s="1" t="s">
        <v>128</v>
      </c>
      <c r="G366" s="1">
        <v>18.8</v>
      </c>
      <c r="H366" s="1">
        <v>28</v>
      </c>
      <c r="I366" s="1">
        <v>5</v>
      </c>
      <c r="J366" s="1">
        <v>92.4</v>
      </c>
      <c r="K366" s="1" t="s">
        <v>120</v>
      </c>
      <c r="L366" s="1" t="s">
        <v>121</v>
      </c>
      <c r="M366" s="1" t="s">
        <v>121</v>
      </c>
    </row>
    <row r="367" spans="1:13" ht="15" customHeight="1">
      <c r="A367" s="1" t="s">
        <v>498</v>
      </c>
      <c r="B367" s="4">
        <v>45724</v>
      </c>
      <c r="C367" s="1" t="s">
        <v>102</v>
      </c>
      <c r="D367" s="1" t="s">
        <v>117</v>
      </c>
      <c r="E367" s="1" t="s">
        <v>118</v>
      </c>
      <c r="F367" s="1" t="s">
        <v>126</v>
      </c>
      <c r="G367" s="1">
        <v>63.9</v>
      </c>
      <c r="H367" s="1">
        <v>71</v>
      </c>
      <c r="I367" s="1">
        <v>5</v>
      </c>
      <c r="J367" s="1">
        <v>77.7</v>
      </c>
      <c r="K367" s="1" t="s">
        <v>120</v>
      </c>
      <c r="L367" s="1" t="s">
        <v>121</v>
      </c>
      <c r="M367" s="1" t="s">
        <v>121</v>
      </c>
    </row>
    <row r="368" spans="1:13" ht="15" customHeight="1">
      <c r="A368" s="1" t="s">
        <v>499</v>
      </c>
      <c r="B368" s="4">
        <v>45756</v>
      </c>
      <c r="C368" s="1" t="s">
        <v>90</v>
      </c>
      <c r="D368" s="1" t="s">
        <v>117</v>
      </c>
      <c r="E368" s="1" t="s">
        <v>134</v>
      </c>
      <c r="F368" s="1" t="s">
        <v>119</v>
      </c>
      <c r="G368" s="1">
        <v>11.5</v>
      </c>
      <c r="H368" s="1">
        <v>20</v>
      </c>
      <c r="I368" s="1">
        <v>5</v>
      </c>
      <c r="J368" s="1">
        <v>81.8</v>
      </c>
      <c r="K368" s="1" t="s">
        <v>120</v>
      </c>
      <c r="L368" s="1" t="s">
        <v>121</v>
      </c>
      <c r="M368" s="1" t="s">
        <v>121</v>
      </c>
    </row>
    <row r="369" spans="1:13" ht="15" customHeight="1">
      <c r="A369" s="1" t="s">
        <v>500</v>
      </c>
      <c r="B369" s="4">
        <v>45889</v>
      </c>
      <c r="C369" s="1" t="s">
        <v>51</v>
      </c>
      <c r="D369" s="1" t="s">
        <v>125</v>
      </c>
      <c r="E369" s="1" t="s">
        <v>145</v>
      </c>
      <c r="F369" s="1" t="s">
        <v>119</v>
      </c>
      <c r="G369" s="1">
        <v>12</v>
      </c>
      <c r="H369" s="1">
        <v>20</v>
      </c>
      <c r="I369" s="1">
        <v>5</v>
      </c>
      <c r="J369" s="1">
        <v>78.099999999999994</v>
      </c>
      <c r="K369" s="1" t="s">
        <v>120</v>
      </c>
      <c r="L369" s="1" t="s">
        <v>121</v>
      </c>
      <c r="M369" s="1" t="s">
        <v>138</v>
      </c>
    </row>
    <row r="370" spans="1:13" ht="15" customHeight="1">
      <c r="A370" s="1" t="s">
        <v>501</v>
      </c>
      <c r="B370" s="4">
        <v>45835</v>
      </c>
      <c r="C370" s="1" t="s">
        <v>46</v>
      </c>
      <c r="D370" s="1" t="s">
        <v>132</v>
      </c>
      <c r="E370" s="1" t="s">
        <v>145</v>
      </c>
      <c r="F370" s="1" t="s">
        <v>128</v>
      </c>
      <c r="G370" s="1">
        <v>22.1</v>
      </c>
      <c r="H370" s="1">
        <v>50</v>
      </c>
      <c r="I370" s="1">
        <v>4</v>
      </c>
      <c r="J370" s="1">
        <v>100</v>
      </c>
      <c r="K370" s="1" t="s">
        <v>120</v>
      </c>
      <c r="L370" s="1" t="s">
        <v>121</v>
      </c>
      <c r="M370" s="1" t="s">
        <v>121</v>
      </c>
    </row>
    <row r="371" spans="1:13" ht="15" customHeight="1">
      <c r="A371" s="1" t="s">
        <v>502</v>
      </c>
      <c r="B371" s="4">
        <v>45995</v>
      </c>
      <c r="C371" s="1" t="s">
        <v>80</v>
      </c>
      <c r="D371" s="1" t="s">
        <v>132</v>
      </c>
      <c r="E371" s="1" t="s">
        <v>123</v>
      </c>
      <c r="F371" s="1" t="s">
        <v>128</v>
      </c>
      <c r="G371" s="1">
        <v>24</v>
      </c>
      <c r="H371" s="1">
        <v>35</v>
      </c>
      <c r="I371" s="1">
        <v>4</v>
      </c>
      <c r="J371" s="1">
        <v>97.9</v>
      </c>
      <c r="K371" s="1" t="s">
        <v>120</v>
      </c>
      <c r="L371" s="1" t="s">
        <v>121</v>
      </c>
      <c r="M371" s="1" t="s">
        <v>121</v>
      </c>
    </row>
    <row r="372" spans="1:13" ht="15" customHeight="1">
      <c r="A372" s="1" t="s">
        <v>503</v>
      </c>
      <c r="B372" s="4">
        <v>45739</v>
      </c>
      <c r="C372" s="1" t="s">
        <v>67</v>
      </c>
      <c r="D372" s="1" t="s">
        <v>125</v>
      </c>
      <c r="E372" s="1" t="s">
        <v>130</v>
      </c>
      <c r="F372" s="1" t="s">
        <v>126</v>
      </c>
      <c r="G372" s="1">
        <v>45.3</v>
      </c>
      <c r="H372" s="1">
        <v>72</v>
      </c>
      <c r="I372" s="1">
        <v>4</v>
      </c>
      <c r="J372" s="1">
        <v>88.8</v>
      </c>
      <c r="K372" s="1" t="s">
        <v>120</v>
      </c>
      <c r="L372" s="1" t="s">
        <v>121</v>
      </c>
      <c r="M372" s="1" t="s">
        <v>121</v>
      </c>
    </row>
    <row r="373" spans="1:13" ht="15" customHeight="1">
      <c r="A373" s="1" t="s">
        <v>504</v>
      </c>
      <c r="B373" s="4">
        <v>45879</v>
      </c>
      <c r="C373" s="1" t="s">
        <v>69</v>
      </c>
      <c r="D373" s="1" t="s">
        <v>117</v>
      </c>
      <c r="E373" s="1" t="s">
        <v>130</v>
      </c>
      <c r="F373" s="1" t="s">
        <v>128</v>
      </c>
      <c r="G373" s="1">
        <v>27.3</v>
      </c>
      <c r="H373" s="1">
        <v>52</v>
      </c>
      <c r="I373" s="1">
        <v>5</v>
      </c>
      <c r="J373" s="1">
        <v>72.8</v>
      </c>
      <c r="K373" s="1" t="s">
        <v>120</v>
      </c>
      <c r="L373" s="1" t="s">
        <v>121</v>
      </c>
      <c r="M373" s="1" t="s">
        <v>121</v>
      </c>
    </row>
    <row r="374" spans="1:13" ht="15" customHeight="1">
      <c r="A374" s="1" t="s">
        <v>505</v>
      </c>
      <c r="B374" s="4">
        <v>45787</v>
      </c>
      <c r="C374" s="1" t="s">
        <v>60</v>
      </c>
      <c r="D374" s="1" t="s">
        <v>132</v>
      </c>
      <c r="E374" s="1" t="s">
        <v>118</v>
      </c>
      <c r="F374" s="1" t="s">
        <v>128</v>
      </c>
      <c r="G374" s="1">
        <v>11.6</v>
      </c>
      <c r="H374" s="1">
        <v>34</v>
      </c>
      <c r="I374" s="1">
        <v>5</v>
      </c>
      <c r="J374" s="1">
        <v>79.400000000000006</v>
      </c>
      <c r="K374" s="1" t="s">
        <v>120</v>
      </c>
      <c r="L374" s="1" t="s">
        <v>121</v>
      </c>
      <c r="M374" s="1" t="s">
        <v>121</v>
      </c>
    </row>
    <row r="375" spans="1:13" ht="15" customHeight="1">
      <c r="A375" s="1" t="s">
        <v>506</v>
      </c>
      <c r="B375" s="4">
        <v>45923</v>
      </c>
      <c r="C375" s="1" t="s">
        <v>56</v>
      </c>
      <c r="D375" s="1" t="s">
        <v>125</v>
      </c>
      <c r="E375" s="1" t="s">
        <v>123</v>
      </c>
      <c r="F375" s="1" t="s">
        <v>128</v>
      </c>
      <c r="G375" s="1">
        <v>30</v>
      </c>
      <c r="H375" s="1">
        <v>8</v>
      </c>
      <c r="I375" s="1">
        <v>4</v>
      </c>
      <c r="J375" s="1">
        <v>75.3</v>
      </c>
      <c r="K375" s="1" t="s">
        <v>120</v>
      </c>
      <c r="L375" s="1" t="s">
        <v>121</v>
      </c>
      <c r="M375" s="1" t="s">
        <v>121</v>
      </c>
    </row>
    <row r="376" spans="1:13" ht="15" customHeight="1">
      <c r="A376" s="1" t="s">
        <v>507</v>
      </c>
      <c r="B376" s="4">
        <v>45674</v>
      </c>
      <c r="C376" s="1" t="s">
        <v>90</v>
      </c>
      <c r="D376" s="1" t="s">
        <v>117</v>
      </c>
      <c r="E376" s="1" t="s">
        <v>118</v>
      </c>
      <c r="F376" s="1" t="s">
        <v>126</v>
      </c>
      <c r="G376" s="1">
        <v>36.200000000000003</v>
      </c>
      <c r="H376" s="1">
        <v>25</v>
      </c>
      <c r="I376" s="1">
        <v>4</v>
      </c>
      <c r="J376" s="1">
        <v>80.400000000000006</v>
      </c>
      <c r="K376" s="1" t="s">
        <v>120</v>
      </c>
      <c r="L376" s="1" t="s">
        <v>121</v>
      </c>
      <c r="M376" s="1" t="s">
        <v>121</v>
      </c>
    </row>
    <row r="377" spans="1:13" ht="15" customHeight="1">
      <c r="A377" s="1" t="s">
        <v>508</v>
      </c>
      <c r="B377" s="4">
        <v>45944</v>
      </c>
      <c r="C377" s="1" t="s">
        <v>84</v>
      </c>
      <c r="D377" s="1" t="s">
        <v>117</v>
      </c>
      <c r="E377" s="1" t="s">
        <v>134</v>
      </c>
      <c r="F377" s="1" t="s">
        <v>119</v>
      </c>
      <c r="G377" s="1">
        <v>14.7</v>
      </c>
      <c r="H377" s="1">
        <v>29</v>
      </c>
      <c r="I377" s="1">
        <v>4</v>
      </c>
      <c r="J377" s="1">
        <v>87.9</v>
      </c>
      <c r="K377" s="1" t="s">
        <v>120</v>
      </c>
      <c r="L377" s="1" t="s">
        <v>121</v>
      </c>
      <c r="M377" s="1" t="s">
        <v>121</v>
      </c>
    </row>
    <row r="378" spans="1:13" ht="15" customHeight="1">
      <c r="A378" s="1" t="s">
        <v>509</v>
      </c>
      <c r="B378" s="4">
        <v>45889</v>
      </c>
      <c r="C378" s="1" t="s">
        <v>98</v>
      </c>
      <c r="D378" s="1" t="s">
        <v>117</v>
      </c>
      <c r="E378" s="1" t="s">
        <v>130</v>
      </c>
      <c r="F378" s="1" t="s">
        <v>126</v>
      </c>
      <c r="G378" s="1">
        <v>38.299999999999997</v>
      </c>
      <c r="H378" s="1">
        <v>37</v>
      </c>
      <c r="I378" s="1">
        <v>4</v>
      </c>
      <c r="J378" s="1">
        <v>84.2</v>
      </c>
      <c r="K378" s="1" t="s">
        <v>120</v>
      </c>
      <c r="L378" s="1" t="s">
        <v>121</v>
      </c>
      <c r="M378" s="1" t="s">
        <v>121</v>
      </c>
    </row>
    <row r="379" spans="1:13" ht="15" customHeight="1">
      <c r="A379" s="1" t="s">
        <v>510</v>
      </c>
      <c r="B379" s="4">
        <v>45803</v>
      </c>
      <c r="C379" s="1" t="s">
        <v>41</v>
      </c>
      <c r="D379" s="1" t="s">
        <v>117</v>
      </c>
      <c r="E379" s="1" t="s">
        <v>130</v>
      </c>
      <c r="F379" s="1" t="s">
        <v>119</v>
      </c>
      <c r="G379" s="1">
        <v>4.9000000000000004</v>
      </c>
      <c r="H379" s="1">
        <v>11</v>
      </c>
      <c r="I379" s="1">
        <v>5</v>
      </c>
      <c r="J379" s="1">
        <v>87.2</v>
      </c>
      <c r="K379" s="1" t="s">
        <v>120</v>
      </c>
      <c r="L379" s="1" t="s">
        <v>121</v>
      </c>
      <c r="M379" s="1" t="s">
        <v>121</v>
      </c>
    </row>
    <row r="380" spans="1:13" ht="15" customHeight="1">
      <c r="A380" s="1" t="s">
        <v>511</v>
      </c>
      <c r="B380" s="4">
        <v>45974</v>
      </c>
      <c r="C380" s="1" t="s">
        <v>86</v>
      </c>
      <c r="D380" s="1" t="s">
        <v>132</v>
      </c>
      <c r="E380" s="1" t="s">
        <v>130</v>
      </c>
      <c r="F380" s="1" t="s">
        <v>128</v>
      </c>
      <c r="G380" s="1">
        <v>41.2</v>
      </c>
      <c r="H380" s="1">
        <v>3</v>
      </c>
      <c r="I380" s="1">
        <v>1</v>
      </c>
      <c r="J380" s="1">
        <v>85.1</v>
      </c>
      <c r="K380" s="1" t="s">
        <v>120</v>
      </c>
      <c r="L380" s="1" t="s">
        <v>121</v>
      </c>
      <c r="M380" s="1" t="s">
        <v>121</v>
      </c>
    </row>
    <row r="381" spans="1:13" ht="15" customHeight="1">
      <c r="A381" s="1" t="s">
        <v>512</v>
      </c>
      <c r="B381" s="4">
        <v>45976</v>
      </c>
      <c r="C381" s="1" t="s">
        <v>86</v>
      </c>
      <c r="D381" s="1" t="s">
        <v>117</v>
      </c>
      <c r="E381" s="1" t="s">
        <v>134</v>
      </c>
      <c r="F381" s="1" t="s">
        <v>126</v>
      </c>
      <c r="G381" s="1">
        <v>18.899999999999999</v>
      </c>
      <c r="H381" s="1">
        <v>46</v>
      </c>
      <c r="I381" s="1">
        <v>2</v>
      </c>
      <c r="J381" s="1">
        <v>79.099999999999994</v>
      </c>
      <c r="K381" s="1" t="s">
        <v>120</v>
      </c>
      <c r="L381" s="1" t="s">
        <v>121</v>
      </c>
      <c r="M381" s="1" t="s">
        <v>121</v>
      </c>
    </row>
    <row r="382" spans="1:13" ht="15" customHeight="1">
      <c r="A382" s="1" t="s">
        <v>513</v>
      </c>
      <c r="B382" s="4">
        <v>45936</v>
      </c>
      <c r="C382" s="1" t="s">
        <v>92</v>
      </c>
      <c r="D382" s="1" t="s">
        <v>125</v>
      </c>
      <c r="E382" s="1" t="s">
        <v>130</v>
      </c>
      <c r="F382" s="1" t="s">
        <v>128</v>
      </c>
      <c r="G382" s="1">
        <v>34.299999999999997</v>
      </c>
      <c r="H382" s="1">
        <v>26</v>
      </c>
      <c r="I382" s="1">
        <v>4</v>
      </c>
      <c r="J382" s="1">
        <v>82</v>
      </c>
      <c r="K382" s="1" t="s">
        <v>120</v>
      </c>
      <c r="L382" s="1" t="s">
        <v>121</v>
      </c>
      <c r="M382" s="1" t="s">
        <v>121</v>
      </c>
    </row>
    <row r="383" spans="1:13" ht="15" customHeight="1">
      <c r="A383" s="1" t="s">
        <v>514</v>
      </c>
      <c r="B383" s="4">
        <v>45881</v>
      </c>
      <c r="C383" s="1" t="s">
        <v>49</v>
      </c>
      <c r="D383" s="1" t="s">
        <v>125</v>
      </c>
      <c r="E383" s="1" t="s">
        <v>130</v>
      </c>
      <c r="F383" s="1" t="s">
        <v>119</v>
      </c>
      <c r="G383" s="1">
        <v>15</v>
      </c>
      <c r="H383" s="1">
        <v>8</v>
      </c>
      <c r="I383" s="1">
        <v>1</v>
      </c>
      <c r="J383" s="1">
        <v>97.8</v>
      </c>
      <c r="K383" s="1" t="s">
        <v>120</v>
      </c>
      <c r="L383" s="1" t="s">
        <v>121</v>
      </c>
      <c r="M383" s="1" t="s">
        <v>138</v>
      </c>
    </row>
    <row r="384" spans="1:13" ht="15" customHeight="1">
      <c r="A384" s="1" t="s">
        <v>515</v>
      </c>
      <c r="B384" s="4">
        <v>45965</v>
      </c>
      <c r="C384" s="1" t="s">
        <v>80</v>
      </c>
      <c r="D384" s="1" t="s">
        <v>125</v>
      </c>
      <c r="E384" s="1" t="s">
        <v>134</v>
      </c>
      <c r="F384" s="1" t="s">
        <v>128</v>
      </c>
      <c r="G384" s="1">
        <v>38.5</v>
      </c>
      <c r="H384" s="1">
        <v>9</v>
      </c>
      <c r="I384" s="1">
        <v>5</v>
      </c>
      <c r="J384" s="1">
        <v>73.8</v>
      </c>
      <c r="K384" s="1" t="s">
        <v>120</v>
      </c>
      <c r="L384" s="1" t="s">
        <v>121</v>
      </c>
      <c r="M384" s="1" t="s">
        <v>138</v>
      </c>
    </row>
    <row r="385" spans="1:13" ht="15" customHeight="1">
      <c r="A385" s="1" t="s">
        <v>516</v>
      </c>
      <c r="B385" s="4">
        <v>45748</v>
      </c>
      <c r="C385" s="1" t="s">
        <v>78</v>
      </c>
      <c r="D385" s="1" t="s">
        <v>117</v>
      </c>
      <c r="E385" s="1" t="s">
        <v>147</v>
      </c>
      <c r="F385" s="1" t="s">
        <v>128</v>
      </c>
      <c r="G385" s="1">
        <v>10.9</v>
      </c>
      <c r="H385" s="1">
        <v>45</v>
      </c>
      <c r="I385" s="1">
        <v>5</v>
      </c>
      <c r="J385" s="1">
        <v>98.1</v>
      </c>
      <c r="K385" s="1" t="s">
        <v>120</v>
      </c>
      <c r="L385" s="1" t="s">
        <v>121</v>
      </c>
      <c r="M385" s="1" t="s">
        <v>121</v>
      </c>
    </row>
    <row r="386" spans="1:13" ht="15" customHeight="1">
      <c r="A386" s="1" t="s">
        <v>517</v>
      </c>
      <c r="B386" s="4">
        <v>45788</v>
      </c>
      <c r="C386" s="1" t="s">
        <v>90</v>
      </c>
      <c r="D386" s="1" t="s">
        <v>117</v>
      </c>
      <c r="E386" s="1" t="s">
        <v>123</v>
      </c>
      <c r="F386" s="1" t="s">
        <v>126</v>
      </c>
      <c r="G386" s="1">
        <v>49.1</v>
      </c>
      <c r="H386" s="1">
        <v>30</v>
      </c>
      <c r="I386" s="1">
        <v>4</v>
      </c>
      <c r="J386" s="1">
        <v>86.6</v>
      </c>
      <c r="K386" s="1" t="s">
        <v>120</v>
      </c>
      <c r="L386" s="1" t="s">
        <v>121</v>
      </c>
      <c r="M386" s="1" t="s">
        <v>121</v>
      </c>
    </row>
    <row r="387" spans="1:13" ht="15" customHeight="1">
      <c r="A387" s="1" t="s">
        <v>518</v>
      </c>
      <c r="B387" s="4">
        <v>45915</v>
      </c>
      <c r="C387" s="1" t="s">
        <v>90</v>
      </c>
      <c r="D387" s="1" t="s">
        <v>125</v>
      </c>
      <c r="E387" s="1" t="s">
        <v>145</v>
      </c>
      <c r="F387" s="1" t="s">
        <v>128</v>
      </c>
      <c r="G387" s="1">
        <v>29.1</v>
      </c>
      <c r="H387" s="1">
        <v>61</v>
      </c>
      <c r="I387" s="1">
        <v>2</v>
      </c>
      <c r="J387" s="1">
        <v>88.7</v>
      </c>
      <c r="K387" s="1" t="s">
        <v>120</v>
      </c>
      <c r="L387" s="1" t="s">
        <v>121</v>
      </c>
      <c r="M387" s="1" t="s">
        <v>121</v>
      </c>
    </row>
    <row r="388" spans="1:13" ht="15" customHeight="1">
      <c r="A388" s="1" t="s">
        <v>519</v>
      </c>
      <c r="B388" s="4">
        <v>45849</v>
      </c>
      <c r="C388" s="1" t="s">
        <v>49</v>
      </c>
      <c r="D388" s="1" t="s">
        <v>132</v>
      </c>
      <c r="E388" s="1" t="s">
        <v>145</v>
      </c>
      <c r="F388" s="1" t="s">
        <v>119</v>
      </c>
      <c r="G388" s="1">
        <v>15.8</v>
      </c>
      <c r="H388" s="1">
        <v>5</v>
      </c>
      <c r="I388" s="1">
        <v>5</v>
      </c>
      <c r="J388" s="1">
        <v>85.1</v>
      </c>
      <c r="K388" s="1" t="s">
        <v>120</v>
      </c>
      <c r="L388" s="1" t="s">
        <v>121</v>
      </c>
      <c r="M388" s="1" t="s">
        <v>138</v>
      </c>
    </row>
    <row r="389" spans="1:13" ht="15" customHeight="1">
      <c r="A389" s="1" t="s">
        <v>520</v>
      </c>
      <c r="B389" s="4">
        <v>45708</v>
      </c>
      <c r="C389" s="1" t="s">
        <v>62</v>
      </c>
      <c r="D389" s="1" t="s">
        <v>117</v>
      </c>
      <c r="E389" s="1" t="s">
        <v>118</v>
      </c>
      <c r="F389" s="1" t="s">
        <v>119</v>
      </c>
      <c r="G389" s="1">
        <v>16.8</v>
      </c>
      <c r="H389" s="1">
        <v>12</v>
      </c>
      <c r="I389" s="1">
        <v>1</v>
      </c>
      <c r="J389" s="1">
        <v>100</v>
      </c>
      <c r="K389" s="1" t="s">
        <v>120</v>
      </c>
      <c r="L389" s="1" t="s">
        <v>138</v>
      </c>
      <c r="M389" s="1" t="s">
        <v>121</v>
      </c>
    </row>
    <row r="390" spans="1:13" ht="15" customHeight="1">
      <c r="A390" s="1" t="s">
        <v>521</v>
      </c>
      <c r="B390" s="4">
        <v>45864</v>
      </c>
      <c r="C390" s="1" t="s">
        <v>84</v>
      </c>
      <c r="D390" s="1" t="s">
        <v>132</v>
      </c>
      <c r="E390" s="1" t="s">
        <v>130</v>
      </c>
      <c r="F390" s="1" t="s">
        <v>126</v>
      </c>
      <c r="G390" s="1">
        <v>0.5</v>
      </c>
      <c r="H390" s="1">
        <v>48</v>
      </c>
      <c r="I390" s="1">
        <v>3</v>
      </c>
      <c r="J390" s="1">
        <v>91.5</v>
      </c>
      <c r="K390" s="1" t="s">
        <v>120</v>
      </c>
      <c r="L390" s="1" t="s">
        <v>121</v>
      </c>
      <c r="M390" s="1" t="s">
        <v>121</v>
      </c>
    </row>
    <row r="391" spans="1:13" ht="15" customHeight="1">
      <c r="A391" s="1" t="s">
        <v>522</v>
      </c>
      <c r="B391" s="4">
        <v>45684</v>
      </c>
      <c r="C391" s="1" t="s">
        <v>69</v>
      </c>
      <c r="D391" s="1" t="s">
        <v>125</v>
      </c>
      <c r="E391" s="1" t="s">
        <v>147</v>
      </c>
      <c r="F391" s="1" t="s">
        <v>128</v>
      </c>
      <c r="G391" s="1">
        <v>15.8</v>
      </c>
      <c r="H391" s="1">
        <v>59</v>
      </c>
      <c r="I391" s="1">
        <v>2</v>
      </c>
      <c r="J391" s="1">
        <v>96.9</v>
      </c>
      <c r="K391" s="1" t="s">
        <v>120</v>
      </c>
      <c r="L391" s="1" t="s">
        <v>121</v>
      </c>
      <c r="M391" s="1" t="s">
        <v>121</v>
      </c>
    </row>
    <row r="392" spans="1:13" ht="15" customHeight="1">
      <c r="A392" s="1" t="s">
        <v>523</v>
      </c>
      <c r="B392" s="4">
        <v>45672</v>
      </c>
      <c r="C392" s="1" t="s">
        <v>86</v>
      </c>
      <c r="D392" s="1" t="s">
        <v>117</v>
      </c>
      <c r="E392" s="1" t="s">
        <v>134</v>
      </c>
      <c r="F392" s="1" t="s">
        <v>128</v>
      </c>
      <c r="G392" s="1">
        <v>30.5</v>
      </c>
      <c r="H392" s="1">
        <v>44</v>
      </c>
      <c r="I392" s="1">
        <v>4</v>
      </c>
      <c r="J392" s="1">
        <v>86.9</v>
      </c>
      <c r="K392" s="1" t="s">
        <v>120</v>
      </c>
      <c r="L392" s="1" t="s">
        <v>121</v>
      </c>
      <c r="M392" s="1" t="s">
        <v>121</v>
      </c>
    </row>
    <row r="393" spans="1:13" ht="15" customHeight="1">
      <c r="A393" s="1" t="s">
        <v>524</v>
      </c>
      <c r="B393" s="4">
        <v>45756</v>
      </c>
      <c r="C393" s="1" t="s">
        <v>69</v>
      </c>
      <c r="D393" s="1" t="s">
        <v>117</v>
      </c>
      <c r="E393" s="1" t="s">
        <v>145</v>
      </c>
      <c r="F393" s="1" t="s">
        <v>126</v>
      </c>
      <c r="G393" s="1">
        <v>49.6</v>
      </c>
      <c r="H393" s="1">
        <v>45</v>
      </c>
      <c r="I393" s="1">
        <v>4</v>
      </c>
      <c r="J393" s="1">
        <v>81.3</v>
      </c>
      <c r="K393" s="1" t="s">
        <v>120</v>
      </c>
      <c r="L393" s="1" t="s">
        <v>138</v>
      </c>
      <c r="M393" s="1" t="s">
        <v>121</v>
      </c>
    </row>
    <row r="394" spans="1:13" ht="15" customHeight="1">
      <c r="A394" s="1" t="s">
        <v>525</v>
      </c>
      <c r="B394" s="4">
        <v>45699</v>
      </c>
      <c r="C394" s="1" t="s">
        <v>102</v>
      </c>
      <c r="D394" s="1" t="s">
        <v>117</v>
      </c>
      <c r="E394" s="1" t="s">
        <v>130</v>
      </c>
      <c r="F394" s="1" t="s">
        <v>128</v>
      </c>
      <c r="G394" s="1">
        <v>0.5</v>
      </c>
      <c r="H394" s="1">
        <v>53</v>
      </c>
      <c r="I394" s="1">
        <v>2</v>
      </c>
      <c r="J394" s="1">
        <v>85.9</v>
      </c>
      <c r="K394" s="1" t="s">
        <v>120</v>
      </c>
      <c r="L394" s="1" t="s">
        <v>121</v>
      </c>
      <c r="M394" s="1" t="s">
        <v>121</v>
      </c>
    </row>
    <row r="395" spans="1:13" ht="15" customHeight="1">
      <c r="A395" s="1" t="s">
        <v>526</v>
      </c>
      <c r="B395" s="4">
        <v>45769</v>
      </c>
      <c r="C395" s="1" t="s">
        <v>86</v>
      </c>
      <c r="D395" s="1" t="s">
        <v>132</v>
      </c>
      <c r="E395" s="1" t="s">
        <v>123</v>
      </c>
      <c r="F395" s="1" t="s">
        <v>126</v>
      </c>
      <c r="G395" s="1">
        <v>72</v>
      </c>
      <c r="H395" s="1">
        <v>33</v>
      </c>
      <c r="I395" s="1">
        <v>4</v>
      </c>
      <c r="J395" s="1">
        <v>100</v>
      </c>
      <c r="K395" s="1" t="s">
        <v>120</v>
      </c>
      <c r="L395" s="1" t="s">
        <v>121</v>
      </c>
      <c r="M395" s="1" t="s">
        <v>121</v>
      </c>
    </row>
    <row r="396" spans="1:13" ht="15" customHeight="1">
      <c r="A396" s="1" t="s">
        <v>527</v>
      </c>
      <c r="B396" s="4">
        <v>45994</v>
      </c>
      <c r="C396" s="1" t="s">
        <v>51</v>
      </c>
      <c r="D396" s="1" t="s">
        <v>125</v>
      </c>
      <c r="E396" s="1" t="s">
        <v>134</v>
      </c>
      <c r="F396" s="1" t="s">
        <v>128</v>
      </c>
      <c r="G396" s="1">
        <v>21.5</v>
      </c>
      <c r="H396" s="1">
        <v>35</v>
      </c>
      <c r="I396" s="1">
        <v>4</v>
      </c>
      <c r="J396" s="1">
        <v>85.4</v>
      </c>
      <c r="K396" s="1" t="s">
        <v>120</v>
      </c>
      <c r="L396" s="1" t="s">
        <v>121</v>
      </c>
      <c r="M396" s="1" t="s">
        <v>121</v>
      </c>
    </row>
    <row r="397" spans="1:13" ht="15" customHeight="1">
      <c r="A397" s="1" t="s">
        <v>528</v>
      </c>
      <c r="B397" s="4">
        <v>45838</v>
      </c>
      <c r="C397" s="1" t="s">
        <v>90</v>
      </c>
      <c r="D397" s="1" t="s">
        <v>125</v>
      </c>
      <c r="E397" s="1" t="s">
        <v>130</v>
      </c>
      <c r="F397" s="1" t="s">
        <v>119</v>
      </c>
      <c r="G397" s="1">
        <v>14.3</v>
      </c>
      <c r="H397" s="1">
        <v>1</v>
      </c>
      <c r="I397" s="1">
        <v>3</v>
      </c>
      <c r="J397" s="1">
        <v>83.1</v>
      </c>
      <c r="K397" s="1" t="s">
        <v>120</v>
      </c>
      <c r="L397" s="1" t="s">
        <v>121</v>
      </c>
      <c r="M397" s="1" t="s">
        <v>121</v>
      </c>
    </row>
    <row r="398" spans="1:13" ht="15" customHeight="1">
      <c r="A398" s="1" t="s">
        <v>529</v>
      </c>
      <c r="B398" s="4">
        <v>45716</v>
      </c>
      <c r="C398" s="1" t="s">
        <v>46</v>
      </c>
      <c r="D398" s="1" t="s">
        <v>117</v>
      </c>
      <c r="E398" s="1" t="s">
        <v>123</v>
      </c>
      <c r="F398" s="1" t="s">
        <v>119</v>
      </c>
      <c r="G398" s="1">
        <v>15</v>
      </c>
      <c r="H398" s="1">
        <v>36</v>
      </c>
      <c r="I398" s="1">
        <v>4</v>
      </c>
      <c r="J398" s="1">
        <v>77.900000000000006</v>
      </c>
      <c r="K398" s="1" t="s">
        <v>159</v>
      </c>
      <c r="L398" s="1" t="s">
        <v>121</v>
      </c>
      <c r="M398" s="1" t="s">
        <v>121</v>
      </c>
    </row>
    <row r="399" spans="1:13" ht="15" customHeight="1">
      <c r="A399" s="1" t="s">
        <v>530</v>
      </c>
      <c r="B399" s="4">
        <v>45791</v>
      </c>
      <c r="C399" s="1" t="s">
        <v>49</v>
      </c>
      <c r="D399" s="1" t="s">
        <v>132</v>
      </c>
      <c r="E399" s="1" t="s">
        <v>134</v>
      </c>
      <c r="F399" s="1" t="s">
        <v>126</v>
      </c>
      <c r="G399" s="1">
        <v>61.8</v>
      </c>
      <c r="H399" s="1">
        <v>47</v>
      </c>
      <c r="I399" s="1">
        <v>5</v>
      </c>
      <c r="J399" s="1">
        <v>81.5</v>
      </c>
      <c r="K399" s="1" t="s">
        <v>120</v>
      </c>
      <c r="L399" s="1" t="s">
        <v>138</v>
      </c>
      <c r="M399" s="1" t="s">
        <v>121</v>
      </c>
    </row>
    <row r="400" spans="1:13" ht="15" customHeight="1">
      <c r="A400" s="1" t="s">
        <v>531</v>
      </c>
      <c r="B400" s="4">
        <v>45942</v>
      </c>
      <c r="C400" s="1" t="s">
        <v>86</v>
      </c>
      <c r="D400" s="1" t="s">
        <v>125</v>
      </c>
      <c r="E400" s="1" t="s">
        <v>147</v>
      </c>
      <c r="F400" s="1" t="s">
        <v>119</v>
      </c>
      <c r="G400" s="1">
        <v>0.5</v>
      </c>
      <c r="H400" s="1">
        <v>30</v>
      </c>
      <c r="I400" s="1">
        <v>5</v>
      </c>
      <c r="J400" s="1">
        <v>95.2</v>
      </c>
      <c r="K400" s="1" t="s">
        <v>120</v>
      </c>
      <c r="L400" s="1" t="s">
        <v>121</v>
      </c>
      <c r="M400" s="1" t="s">
        <v>121</v>
      </c>
    </row>
    <row r="401" spans="1:13" ht="15" customHeight="1">
      <c r="A401" s="1" t="s">
        <v>532</v>
      </c>
      <c r="B401" s="4">
        <v>45872</v>
      </c>
      <c r="C401" s="1" t="s">
        <v>65</v>
      </c>
      <c r="D401" s="1" t="s">
        <v>125</v>
      </c>
      <c r="E401" s="1" t="s">
        <v>145</v>
      </c>
      <c r="F401" s="1" t="s">
        <v>126</v>
      </c>
      <c r="G401" s="1">
        <v>26.3</v>
      </c>
      <c r="H401" s="1">
        <v>10</v>
      </c>
      <c r="I401" s="1">
        <v>4</v>
      </c>
      <c r="J401" s="1">
        <v>90.5</v>
      </c>
      <c r="K401" s="1" t="s">
        <v>120</v>
      </c>
      <c r="L401" s="1" t="s">
        <v>121</v>
      </c>
      <c r="M401" s="1" t="s">
        <v>121</v>
      </c>
    </row>
    <row r="402" spans="1:13" ht="15" customHeight="1">
      <c r="A402" s="1" t="s">
        <v>533</v>
      </c>
      <c r="B402" s="4">
        <v>45869</v>
      </c>
      <c r="C402" s="1" t="s">
        <v>51</v>
      </c>
      <c r="D402" s="1" t="s">
        <v>125</v>
      </c>
      <c r="E402" s="1" t="s">
        <v>118</v>
      </c>
      <c r="F402" s="1" t="s">
        <v>128</v>
      </c>
      <c r="G402" s="1">
        <v>31.7</v>
      </c>
      <c r="H402" s="1">
        <v>1</v>
      </c>
      <c r="I402" s="1">
        <v>4</v>
      </c>
      <c r="J402" s="1">
        <v>94.1</v>
      </c>
      <c r="K402" s="1" t="s">
        <v>120</v>
      </c>
      <c r="L402" s="1" t="s">
        <v>121</v>
      </c>
      <c r="M402" s="1" t="s">
        <v>121</v>
      </c>
    </row>
    <row r="403" spans="1:13" ht="15" customHeight="1">
      <c r="A403" s="1" t="s">
        <v>534</v>
      </c>
      <c r="B403" s="4">
        <v>45828</v>
      </c>
      <c r="C403" s="1" t="s">
        <v>56</v>
      </c>
      <c r="D403" s="1" t="s">
        <v>125</v>
      </c>
      <c r="E403" s="1" t="s">
        <v>134</v>
      </c>
      <c r="F403" s="1" t="s">
        <v>126</v>
      </c>
      <c r="G403" s="1">
        <v>52</v>
      </c>
      <c r="H403" s="1">
        <v>33</v>
      </c>
      <c r="I403" s="1">
        <v>5</v>
      </c>
      <c r="J403" s="1">
        <v>93.7</v>
      </c>
      <c r="K403" s="1" t="s">
        <v>120</v>
      </c>
      <c r="L403" s="1" t="s">
        <v>121</v>
      </c>
      <c r="M403" s="1" t="s">
        <v>121</v>
      </c>
    </row>
    <row r="404" spans="1:13" ht="15" customHeight="1">
      <c r="A404" s="1" t="s">
        <v>535</v>
      </c>
      <c r="B404" s="4">
        <v>45795</v>
      </c>
      <c r="C404" s="1" t="s">
        <v>77</v>
      </c>
      <c r="D404" s="1" t="s">
        <v>117</v>
      </c>
      <c r="E404" s="1" t="s">
        <v>147</v>
      </c>
      <c r="F404" s="1" t="s">
        <v>119</v>
      </c>
      <c r="G404" s="1">
        <v>8.6999999999999993</v>
      </c>
      <c r="H404" s="1">
        <v>22</v>
      </c>
      <c r="I404" s="1">
        <v>3</v>
      </c>
      <c r="J404" s="1">
        <v>77.7</v>
      </c>
      <c r="K404" s="1" t="s">
        <v>159</v>
      </c>
      <c r="L404" s="1" t="s">
        <v>121</v>
      </c>
      <c r="M404" s="1" t="s">
        <v>121</v>
      </c>
    </row>
    <row r="405" spans="1:13" ht="15" customHeight="1">
      <c r="A405" s="1" t="s">
        <v>536</v>
      </c>
      <c r="B405" s="4">
        <v>45864</v>
      </c>
      <c r="C405" s="1" t="s">
        <v>73</v>
      </c>
      <c r="D405" s="1" t="s">
        <v>132</v>
      </c>
      <c r="E405" s="1" t="s">
        <v>118</v>
      </c>
      <c r="F405" s="1" t="s">
        <v>128</v>
      </c>
      <c r="G405" s="1">
        <v>35.700000000000003</v>
      </c>
      <c r="H405" s="1">
        <v>23</v>
      </c>
      <c r="I405" s="1">
        <v>5</v>
      </c>
      <c r="J405" s="1">
        <v>84</v>
      </c>
      <c r="K405" s="1" t="s">
        <v>159</v>
      </c>
      <c r="L405" s="1" t="s">
        <v>121</v>
      </c>
      <c r="M405" s="1" t="s">
        <v>121</v>
      </c>
    </row>
    <row r="406" spans="1:13" ht="15" customHeight="1">
      <c r="A406" s="1" t="s">
        <v>537</v>
      </c>
      <c r="B406" s="4">
        <v>45949</v>
      </c>
      <c r="C406" s="1" t="s">
        <v>69</v>
      </c>
      <c r="D406" s="1" t="s">
        <v>125</v>
      </c>
      <c r="E406" s="1" t="s">
        <v>130</v>
      </c>
      <c r="F406" s="1" t="s">
        <v>128</v>
      </c>
      <c r="G406" s="1">
        <v>25.4</v>
      </c>
      <c r="H406" s="1">
        <v>47</v>
      </c>
      <c r="I406" s="1">
        <v>5</v>
      </c>
      <c r="J406" s="1">
        <v>85.5</v>
      </c>
      <c r="K406" s="1" t="s">
        <v>159</v>
      </c>
      <c r="L406" s="1" t="s">
        <v>121</v>
      </c>
      <c r="M406" s="1" t="s">
        <v>121</v>
      </c>
    </row>
    <row r="407" spans="1:13" ht="15" customHeight="1">
      <c r="A407" s="1" t="s">
        <v>538</v>
      </c>
      <c r="B407" s="4">
        <v>45882</v>
      </c>
      <c r="C407" s="1" t="s">
        <v>49</v>
      </c>
      <c r="D407" s="1" t="s">
        <v>132</v>
      </c>
      <c r="E407" s="1" t="s">
        <v>147</v>
      </c>
      <c r="F407" s="1" t="s">
        <v>126</v>
      </c>
      <c r="G407" s="1">
        <v>53.9</v>
      </c>
      <c r="H407" s="1">
        <v>32</v>
      </c>
      <c r="I407" s="1">
        <v>4</v>
      </c>
      <c r="J407" s="1">
        <v>83.2</v>
      </c>
      <c r="K407" s="1" t="s">
        <v>120</v>
      </c>
      <c r="L407" s="1" t="s">
        <v>121</v>
      </c>
      <c r="M407" s="1" t="s">
        <v>121</v>
      </c>
    </row>
    <row r="408" spans="1:13" ht="15" customHeight="1">
      <c r="A408" s="1" t="s">
        <v>539</v>
      </c>
      <c r="B408" s="4">
        <v>45898</v>
      </c>
      <c r="C408" s="1" t="s">
        <v>49</v>
      </c>
      <c r="D408" s="1" t="s">
        <v>117</v>
      </c>
      <c r="E408" s="1" t="s">
        <v>123</v>
      </c>
      <c r="F408" s="1" t="s">
        <v>128</v>
      </c>
      <c r="G408" s="1">
        <v>2.6</v>
      </c>
      <c r="H408" s="1">
        <v>65</v>
      </c>
      <c r="I408" s="1">
        <v>4</v>
      </c>
      <c r="J408" s="1">
        <v>62.5</v>
      </c>
      <c r="K408" s="1" t="s">
        <v>120</v>
      </c>
      <c r="L408" s="1" t="s">
        <v>121</v>
      </c>
      <c r="M408" s="1" t="s">
        <v>121</v>
      </c>
    </row>
    <row r="409" spans="1:13" ht="15" customHeight="1">
      <c r="A409" s="1" t="s">
        <v>540</v>
      </c>
      <c r="B409" s="4">
        <v>45777</v>
      </c>
      <c r="C409" s="1" t="s">
        <v>69</v>
      </c>
      <c r="D409" s="1" t="s">
        <v>125</v>
      </c>
      <c r="E409" s="1" t="s">
        <v>130</v>
      </c>
      <c r="F409" s="1" t="s">
        <v>128</v>
      </c>
      <c r="G409" s="1">
        <v>5.7</v>
      </c>
      <c r="H409" s="1">
        <v>51</v>
      </c>
      <c r="I409" s="1">
        <v>5</v>
      </c>
      <c r="J409" s="1">
        <v>87.7</v>
      </c>
      <c r="K409" s="1" t="s">
        <v>120</v>
      </c>
      <c r="L409" s="1" t="s">
        <v>121</v>
      </c>
      <c r="M409" s="1" t="s">
        <v>121</v>
      </c>
    </row>
    <row r="410" spans="1:13" ht="15" customHeight="1">
      <c r="A410" s="1" t="s">
        <v>541</v>
      </c>
      <c r="B410" s="4">
        <v>45860</v>
      </c>
      <c r="C410" s="1" t="s">
        <v>41</v>
      </c>
      <c r="D410" s="1" t="s">
        <v>132</v>
      </c>
      <c r="E410" s="1" t="s">
        <v>130</v>
      </c>
      <c r="F410" s="1" t="s">
        <v>119</v>
      </c>
      <c r="G410" s="1">
        <v>8.3000000000000007</v>
      </c>
      <c r="H410" s="1">
        <v>5</v>
      </c>
      <c r="I410" s="1">
        <v>3</v>
      </c>
      <c r="J410" s="1">
        <v>87.3</v>
      </c>
      <c r="K410" s="1" t="s">
        <v>120</v>
      </c>
      <c r="L410" s="1" t="s">
        <v>121</v>
      </c>
      <c r="M410" s="1" t="s">
        <v>121</v>
      </c>
    </row>
    <row r="411" spans="1:13" ht="15" customHeight="1">
      <c r="A411" s="1" t="s">
        <v>542</v>
      </c>
      <c r="B411" s="4">
        <v>45751</v>
      </c>
      <c r="C411" s="1" t="s">
        <v>49</v>
      </c>
      <c r="D411" s="1" t="s">
        <v>117</v>
      </c>
      <c r="E411" s="1" t="s">
        <v>147</v>
      </c>
      <c r="F411" s="1" t="s">
        <v>126</v>
      </c>
      <c r="G411" s="1">
        <v>35.6</v>
      </c>
      <c r="H411" s="1">
        <v>50</v>
      </c>
      <c r="I411" s="1">
        <v>4</v>
      </c>
      <c r="J411" s="1">
        <v>88.1</v>
      </c>
      <c r="K411" s="1" t="s">
        <v>159</v>
      </c>
      <c r="L411" s="1" t="s">
        <v>121</v>
      </c>
      <c r="M411" s="1" t="s">
        <v>121</v>
      </c>
    </row>
    <row r="412" spans="1:13" ht="15" customHeight="1">
      <c r="A412" s="1" t="s">
        <v>543</v>
      </c>
      <c r="B412" s="4">
        <v>45971</v>
      </c>
      <c r="C412" s="1" t="s">
        <v>49</v>
      </c>
      <c r="D412" s="1" t="s">
        <v>125</v>
      </c>
      <c r="E412" s="1" t="s">
        <v>145</v>
      </c>
      <c r="F412" s="1" t="s">
        <v>128</v>
      </c>
      <c r="G412" s="1">
        <v>0.5</v>
      </c>
      <c r="H412" s="1">
        <v>67</v>
      </c>
      <c r="I412" s="1">
        <v>3</v>
      </c>
      <c r="J412" s="1">
        <v>86</v>
      </c>
      <c r="K412" s="1" t="s">
        <v>120</v>
      </c>
      <c r="L412" s="1" t="s">
        <v>121</v>
      </c>
      <c r="M412" s="1" t="s">
        <v>121</v>
      </c>
    </row>
    <row r="413" spans="1:13" ht="15" customHeight="1">
      <c r="A413" s="1" t="s">
        <v>544</v>
      </c>
      <c r="B413" s="4">
        <v>45942</v>
      </c>
      <c r="C413" s="1" t="s">
        <v>92</v>
      </c>
      <c r="D413" s="1" t="s">
        <v>125</v>
      </c>
      <c r="E413" s="1" t="s">
        <v>134</v>
      </c>
      <c r="F413" s="1" t="s">
        <v>126</v>
      </c>
      <c r="G413" s="1">
        <v>60.8</v>
      </c>
      <c r="H413" s="1">
        <v>66</v>
      </c>
      <c r="I413" s="1">
        <v>4</v>
      </c>
      <c r="J413" s="1">
        <v>80</v>
      </c>
      <c r="K413" s="1" t="s">
        <v>120</v>
      </c>
      <c r="L413" s="1" t="s">
        <v>121</v>
      </c>
      <c r="M413" s="1" t="s">
        <v>121</v>
      </c>
    </row>
    <row r="414" spans="1:13" ht="15" customHeight="1">
      <c r="A414" s="1" t="s">
        <v>545</v>
      </c>
      <c r="B414" s="4">
        <v>45686</v>
      </c>
      <c r="C414" s="1" t="s">
        <v>62</v>
      </c>
      <c r="D414" s="1" t="s">
        <v>132</v>
      </c>
      <c r="E414" s="1" t="s">
        <v>123</v>
      </c>
      <c r="F414" s="1" t="s">
        <v>126</v>
      </c>
      <c r="G414" s="1">
        <v>50</v>
      </c>
      <c r="H414" s="1">
        <v>1</v>
      </c>
      <c r="I414" s="1">
        <v>2</v>
      </c>
      <c r="J414" s="1">
        <v>83.7</v>
      </c>
      <c r="K414" s="1" t="s">
        <v>120</v>
      </c>
      <c r="L414" s="1" t="s">
        <v>121</v>
      </c>
      <c r="M414" s="1" t="s">
        <v>121</v>
      </c>
    </row>
    <row r="415" spans="1:13" ht="15" customHeight="1">
      <c r="A415" s="1" t="s">
        <v>546</v>
      </c>
      <c r="B415" s="4">
        <v>45984</v>
      </c>
      <c r="C415" s="1" t="s">
        <v>73</v>
      </c>
      <c r="D415" s="1" t="s">
        <v>117</v>
      </c>
      <c r="E415" s="1" t="s">
        <v>134</v>
      </c>
      <c r="F415" s="1" t="s">
        <v>126</v>
      </c>
      <c r="G415" s="1">
        <v>25.5</v>
      </c>
      <c r="H415" s="1">
        <v>40</v>
      </c>
      <c r="I415" s="1">
        <v>2</v>
      </c>
      <c r="J415" s="1">
        <v>81.2</v>
      </c>
      <c r="K415" s="1" t="s">
        <v>120</v>
      </c>
      <c r="L415" s="1" t="s">
        <v>138</v>
      </c>
      <c r="M415" s="1" t="s">
        <v>121</v>
      </c>
    </row>
    <row r="416" spans="1:13" ht="15" customHeight="1">
      <c r="A416" s="1" t="s">
        <v>547</v>
      </c>
      <c r="B416" s="4">
        <v>45734</v>
      </c>
      <c r="C416" s="1" t="s">
        <v>46</v>
      </c>
      <c r="D416" s="1" t="s">
        <v>117</v>
      </c>
      <c r="E416" s="1" t="s">
        <v>118</v>
      </c>
      <c r="F416" s="1" t="s">
        <v>128</v>
      </c>
      <c r="G416" s="1">
        <v>28.2</v>
      </c>
      <c r="H416" s="1">
        <v>52</v>
      </c>
      <c r="I416" s="1">
        <v>4</v>
      </c>
      <c r="J416" s="1">
        <v>80.599999999999994</v>
      </c>
      <c r="K416" s="1" t="s">
        <v>120</v>
      </c>
      <c r="L416" s="1" t="s">
        <v>121</v>
      </c>
      <c r="M416" s="1" t="s">
        <v>121</v>
      </c>
    </row>
    <row r="417" spans="1:13" ht="15" customHeight="1">
      <c r="A417" s="1" t="s">
        <v>548</v>
      </c>
      <c r="B417" s="4">
        <v>45943</v>
      </c>
      <c r="C417" s="1" t="s">
        <v>86</v>
      </c>
      <c r="D417" s="1" t="s">
        <v>117</v>
      </c>
      <c r="E417" s="1" t="s">
        <v>134</v>
      </c>
      <c r="F417" s="1" t="s">
        <v>119</v>
      </c>
      <c r="G417" s="1">
        <v>8.8000000000000007</v>
      </c>
      <c r="H417" s="1">
        <v>24</v>
      </c>
      <c r="I417" s="1">
        <v>5</v>
      </c>
      <c r="J417" s="1">
        <v>98</v>
      </c>
      <c r="K417" s="1" t="s">
        <v>120</v>
      </c>
      <c r="L417" s="1" t="s">
        <v>121</v>
      </c>
      <c r="M417" s="1" t="s">
        <v>138</v>
      </c>
    </row>
    <row r="418" spans="1:13" ht="15" customHeight="1">
      <c r="A418" s="1" t="s">
        <v>549</v>
      </c>
      <c r="B418" s="4">
        <v>45845</v>
      </c>
      <c r="C418" s="1" t="s">
        <v>102</v>
      </c>
      <c r="D418" s="1" t="s">
        <v>132</v>
      </c>
      <c r="E418" s="1" t="s">
        <v>130</v>
      </c>
      <c r="F418" s="1" t="s">
        <v>126</v>
      </c>
      <c r="G418" s="1">
        <v>26.8</v>
      </c>
      <c r="H418" s="1">
        <v>49</v>
      </c>
      <c r="I418" s="1">
        <v>5</v>
      </c>
      <c r="J418" s="1">
        <v>94.2</v>
      </c>
      <c r="K418" s="1" t="s">
        <v>120</v>
      </c>
      <c r="L418" s="1" t="s">
        <v>121</v>
      </c>
      <c r="M418" s="1" t="s">
        <v>121</v>
      </c>
    </row>
    <row r="419" spans="1:13" ht="15" customHeight="1">
      <c r="A419" s="1" t="s">
        <v>550</v>
      </c>
      <c r="B419" s="4">
        <v>46002</v>
      </c>
      <c r="C419" s="1" t="s">
        <v>41</v>
      </c>
      <c r="D419" s="1" t="s">
        <v>117</v>
      </c>
      <c r="E419" s="1" t="s">
        <v>118</v>
      </c>
      <c r="F419" s="1" t="s">
        <v>119</v>
      </c>
      <c r="G419" s="1">
        <v>20.3</v>
      </c>
      <c r="H419" s="1">
        <v>15</v>
      </c>
      <c r="I419" s="1">
        <v>3</v>
      </c>
      <c r="J419" s="1">
        <v>78.099999999999994</v>
      </c>
      <c r="K419" s="1" t="s">
        <v>120</v>
      </c>
      <c r="L419" s="1" t="s">
        <v>121</v>
      </c>
      <c r="M419" s="1" t="s">
        <v>121</v>
      </c>
    </row>
    <row r="420" spans="1:13" ht="15" customHeight="1">
      <c r="A420" s="1" t="s">
        <v>551</v>
      </c>
      <c r="B420" s="4">
        <v>45689</v>
      </c>
      <c r="C420" s="1" t="s">
        <v>51</v>
      </c>
      <c r="D420" s="1" t="s">
        <v>132</v>
      </c>
      <c r="E420" s="1" t="s">
        <v>147</v>
      </c>
      <c r="F420" s="1" t="s">
        <v>128</v>
      </c>
      <c r="G420" s="1">
        <v>20.100000000000001</v>
      </c>
      <c r="H420" s="1">
        <v>6</v>
      </c>
      <c r="I420" s="1">
        <v>5</v>
      </c>
      <c r="J420" s="1">
        <v>76.099999999999994</v>
      </c>
      <c r="K420" s="1" t="s">
        <v>120</v>
      </c>
      <c r="L420" s="1" t="s">
        <v>121</v>
      </c>
      <c r="M420" s="1" t="s">
        <v>138</v>
      </c>
    </row>
    <row r="421" spans="1:13" ht="15" customHeight="1">
      <c r="A421" s="1" t="s">
        <v>552</v>
      </c>
      <c r="B421" s="4">
        <v>45766</v>
      </c>
      <c r="C421" s="1" t="s">
        <v>88</v>
      </c>
      <c r="D421" s="1" t="s">
        <v>132</v>
      </c>
      <c r="E421" s="1" t="s">
        <v>130</v>
      </c>
      <c r="F421" s="1" t="s">
        <v>128</v>
      </c>
      <c r="G421" s="1">
        <v>37.200000000000003</v>
      </c>
      <c r="H421" s="1">
        <v>53</v>
      </c>
      <c r="I421" s="1">
        <v>1</v>
      </c>
      <c r="J421" s="1">
        <v>85.9</v>
      </c>
      <c r="K421" s="1" t="s">
        <v>120</v>
      </c>
      <c r="L421" s="1" t="s">
        <v>121</v>
      </c>
      <c r="M421" s="1" t="s">
        <v>121</v>
      </c>
    </row>
    <row r="422" spans="1:13" ht="15" customHeight="1">
      <c r="A422" s="1" t="s">
        <v>553</v>
      </c>
      <c r="B422" s="4">
        <v>45990</v>
      </c>
      <c r="C422" s="1" t="s">
        <v>69</v>
      </c>
      <c r="D422" s="1" t="s">
        <v>125</v>
      </c>
      <c r="E422" s="1" t="s">
        <v>123</v>
      </c>
      <c r="F422" s="1" t="s">
        <v>119</v>
      </c>
      <c r="G422" s="1">
        <v>13.2</v>
      </c>
      <c r="H422" s="1">
        <v>28</v>
      </c>
      <c r="I422" s="1">
        <v>5</v>
      </c>
      <c r="J422" s="1">
        <v>80.900000000000006</v>
      </c>
      <c r="K422" s="1" t="s">
        <v>120</v>
      </c>
      <c r="L422" s="1" t="s">
        <v>121</v>
      </c>
      <c r="M422" s="1" t="s">
        <v>121</v>
      </c>
    </row>
    <row r="423" spans="1:13" ht="15" customHeight="1">
      <c r="A423" s="1" t="s">
        <v>554</v>
      </c>
      <c r="B423" s="4">
        <v>45883</v>
      </c>
      <c r="C423" s="1" t="s">
        <v>56</v>
      </c>
      <c r="D423" s="1" t="s">
        <v>125</v>
      </c>
      <c r="E423" s="1" t="s">
        <v>118</v>
      </c>
      <c r="F423" s="1" t="s">
        <v>135</v>
      </c>
      <c r="G423" s="1">
        <v>2.1</v>
      </c>
      <c r="H423" s="1">
        <v>17</v>
      </c>
      <c r="I423" s="1">
        <v>4</v>
      </c>
      <c r="J423" s="1">
        <v>89.6</v>
      </c>
      <c r="K423" s="1" t="s">
        <v>159</v>
      </c>
      <c r="L423" s="1" t="s">
        <v>121</v>
      </c>
      <c r="M423" s="1" t="s">
        <v>121</v>
      </c>
    </row>
    <row r="424" spans="1:13" ht="15" customHeight="1">
      <c r="A424" s="1" t="s">
        <v>555</v>
      </c>
      <c r="B424" s="4">
        <v>46012</v>
      </c>
      <c r="C424" s="1" t="s">
        <v>51</v>
      </c>
      <c r="D424" s="1" t="s">
        <v>132</v>
      </c>
      <c r="E424" s="1" t="s">
        <v>147</v>
      </c>
      <c r="F424" s="1" t="s">
        <v>126</v>
      </c>
      <c r="G424" s="1">
        <v>46.5</v>
      </c>
      <c r="H424" s="1">
        <v>46</v>
      </c>
      <c r="I424" s="1">
        <v>4</v>
      </c>
      <c r="J424" s="1">
        <v>75.099999999999994</v>
      </c>
      <c r="K424" s="1" t="s">
        <v>120</v>
      </c>
      <c r="L424" s="1" t="s">
        <v>121</v>
      </c>
      <c r="M424" s="1" t="s">
        <v>121</v>
      </c>
    </row>
    <row r="425" spans="1:13" ht="15" customHeight="1">
      <c r="A425" s="1" t="s">
        <v>556</v>
      </c>
      <c r="B425" s="4">
        <v>45921</v>
      </c>
      <c r="C425" s="1" t="s">
        <v>77</v>
      </c>
      <c r="D425" s="1" t="s">
        <v>125</v>
      </c>
      <c r="E425" s="1" t="s">
        <v>123</v>
      </c>
      <c r="F425" s="1" t="s">
        <v>128</v>
      </c>
      <c r="G425" s="1">
        <v>30.6</v>
      </c>
      <c r="H425" s="1">
        <v>51</v>
      </c>
      <c r="I425" s="1">
        <v>4</v>
      </c>
      <c r="J425" s="1">
        <v>79.400000000000006</v>
      </c>
      <c r="K425" s="1" t="s">
        <v>120</v>
      </c>
      <c r="L425" s="1" t="s">
        <v>121</v>
      </c>
      <c r="M425" s="1" t="s">
        <v>121</v>
      </c>
    </row>
    <row r="426" spans="1:13" ht="15" customHeight="1">
      <c r="A426" s="1" t="s">
        <v>557</v>
      </c>
      <c r="B426" s="4">
        <v>45870</v>
      </c>
      <c r="C426" s="1" t="s">
        <v>73</v>
      </c>
      <c r="D426" s="1" t="s">
        <v>132</v>
      </c>
      <c r="E426" s="1" t="s">
        <v>145</v>
      </c>
      <c r="F426" s="1" t="s">
        <v>126</v>
      </c>
      <c r="G426" s="1">
        <v>2.6</v>
      </c>
      <c r="H426" s="1">
        <v>52</v>
      </c>
      <c r="I426" s="1">
        <v>4</v>
      </c>
      <c r="J426" s="1">
        <v>92.7</v>
      </c>
      <c r="K426" s="1" t="s">
        <v>120</v>
      </c>
      <c r="L426" s="1" t="s">
        <v>121</v>
      </c>
      <c r="M426" s="1" t="s">
        <v>121</v>
      </c>
    </row>
    <row r="427" spans="1:13" ht="15" customHeight="1">
      <c r="A427" s="1" t="s">
        <v>558</v>
      </c>
      <c r="B427" s="4">
        <v>45891</v>
      </c>
      <c r="C427" s="1" t="s">
        <v>96</v>
      </c>
      <c r="D427" s="1" t="s">
        <v>132</v>
      </c>
      <c r="E427" s="1" t="s">
        <v>147</v>
      </c>
      <c r="F427" s="1" t="s">
        <v>126</v>
      </c>
      <c r="G427" s="1">
        <v>13.3</v>
      </c>
      <c r="H427" s="1">
        <v>50</v>
      </c>
      <c r="I427" s="1">
        <v>4</v>
      </c>
      <c r="J427" s="1">
        <v>84.6</v>
      </c>
      <c r="K427" s="1" t="s">
        <v>120</v>
      </c>
      <c r="L427" s="1" t="s">
        <v>121</v>
      </c>
      <c r="M427" s="1" t="s">
        <v>121</v>
      </c>
    </row>
    <row r="428" spans="1:13" ht="15" customHeight="1">
      <c r="A428" s="1" t="s">
        <v>559</v>
      </c>
      <c r="B428" s="4">
        <v>45773</v>
      </c>
      <c r="C428" s="1" t="s">
        <v>62</v>
      </c>
      <c r="D428" s="1" t="s">
        <v>132</v>
      </c>
      <c r="E428" s="1" t="s">
        <v>118</v>
      </c>
      <c r="F428" s="1" t="s">
        <v>126</v>
      </c>
      <c r="G428" s="1">
        <v>26.8</v>
      </c>
      <c r="H428" s="1">
        <v>29</v>
      </c>
      <c r="I428" s="1">
        <v>4</v>
      </c>
      <c r="J428" s="1">
        <v>90</v>
      </c>
      <c r="K428" s="1" t="s">
        <v>120</v>
      </c>
      <c r="L428" s="1" t="s">
        <v>121</v>
      </c>
      <c r="M428" s="1" t="s">
        <v>121</v>
      </c>
    </row>
    <row r="429" spans="1:13" ht="15" customHeight="1">
      <c r="A429" s="1" t="s">
        <v>560</v>
      </c>
      <c r="B429" s="4">
        <v>45734</v>
      </c>
      <c r="C429" s="1" t="s">
        <v>77</v>
      </c>
      <c r="D429" s="1" t="s">
        <v>125</v>
      </c>
      <c r="E429" s="1" t="s">
        <v>130</v>
      </c>
      <c r="F429" s="1" t="s">
        <v>126</v>
      </c>
      <c r="G429" s="1">
        <v>55.3</v>
      </c>
      <c r="H429" s="1">
        <v>48</v>
      </c>
      <c r="I429" s="1">
        <v>4</v>
      </c>
      <c r="J429" s="1">
        <v>77.400000000000006</v>
      </c>
      <c r="K429" s="1" t="s">
        <v>120</v>
      </c>
      <c r="L429" s="1" t="s">
        <v>121</v>
      </c>
      <c r="M429" s="1" t="s">
        <v>121</v>
      </c>
    </row>
    <row r="430" spans="1:13" ht="15" customHeight="1">
      <c r="A430" s="1" t="s">
        <v>561</v>
      </c>
      <c r="B430" s="4">
        <v>45956</v>
      </c>
      <c r="C430" s="1" t="s">
        <v>69</v>
      </c>
      <c r="D430" s="1" t="s">
        <v>125</v>
      </c>
      <c r="E430" s="1" t="s">
        <v>145</v>
      </c>
      <c r="F430" s="1" t="s">
        <v>119</v>
      </c>
      <c r="G430" s="1">
        <v>9.8000000000000007</v>
      </c>
      <c r="H430" s="1">
        <v>39</v>
      </c>
      <c r="I430" s="1">
        <v>3</v>
      </c>
      <c r="J430" s="1">
        <v>81.7</v>
      </c>
      <c r="K430" s="1" t="s">
        <v>120</v>
      </c>
      <c r="L430" s="1" t="s">
        <v>121</v>
      </c>
      <c r="M430" s="1" t="s">
        <v>121</v>
      </c>
    </row>
    <row r="431" spans="1:13" ht="15" customHeight="1">
      <c r="A431" s="1" t="s">
        <v>562</v>
      </c>
      <c r="B431" s="4">
        <v>45829</v>
      </c>
      <c r="C431" s="1" t="s">
        <v>98</v>
      </c>
      <c r="D431" s="1" t="s">
        <v>125</v>
      </c>
      <c r="E431" s="1" t="s">
        <v>145</v>
      </c>
      <c r="F431" s="1" t="s">
        <v>126</v>
      </c>
      <c r="G431" s="1">
        <v>66.400000000000006</v>
      </c>
      <c r="H431" s="1">
        <v>40</v>
      </c>
      <c r="I431" s="1">
        <v>5</v>
      </c>
      <c r="J431" s="1">
        <v>94.8</v>
      </c>
      <c r="K431" s="1" t="s">
        <v>120</v>
      </c>
      <c r="L431" s="1" t="s">
        <v>121</v>
      </c>
      <c r="M431" s="1" t="s">
        <v>121</v>
      </c>
    </row>
    <row r="432" spans="1:13" ht="15" customHeight="1">
      <c r="A432" s="1" t="s">
        <v>563</v>
      </c>
      <c r="B432" s="4">
        <v>45717</v>
      </c>
      <c r="C432" s="1" t="s">
        <v>98</v>
      </c>
      <c r="D432" s="1" t="s">
        <v>117</v>
      </c>
      <c r="E432" s="1" t="s">
        <v>118</v>
      </c>
      <c r="F432" s="1" t="s">
        <v>128</v>
      </c>
      <c r="G432" s="1">
        <v>0.5</v>
      </c>
      <c r="H432" s="1">
        <v>27</v>
      </c>
      <c r="I432" s="1">
        <v>4</v>
      </c>
      <c r="J432" s="1">
        <v>81.900000000000006</v>
      </c>
      <c r="K432" s="1" t="s">
        <v>120</v>
      </c>
      <c r="L432" s="1" t="s">
        <v>121</v>
      </c>
      <c r="M432" s="1" t="s">
        <v>121</v>
      </c>
    </row>
    <row r="433" spans="1:13" ht="15" customHeight="1">
      <c r="A433" s="1" t="s">
        <v>564</v>
      </c>
      <c r="B433" s="4">
        <v>45746</v>
      </c>
      <c r="C433" s="1" t="s">
        <v>78</v>
      </c>
      <c r="D433" s="1" t="s">
        <v>117</v>
      </c>
      <c r="E433" s="1" t="s">
        <v>118</v>
      </c>
      <c r="F433" s="1" t="s">
        <v>119</v>
      </c>
      <c r="G433" s="1">
        <v>18</v>
      </c>
      <c r="H433" s="1">
        <v>26</v>
      </c>
      <c r="I433" s="1">
        <v>4</v>
      </c>
      <c r="J433" s="1">
        <v>91</v>
      </c>
      <c r="K433" s="1" t="s">
        <v>120</v>
      </c>
      <c r="L433" s="1" t="s">
        <v>121</v>
      </c>
      <c r="M433" s="1" t="s">
        <v>121</v>
      </c>
    </row>
    <row r="434" spans="1:13" ht="15" customHeight="1">
      <c r="A434" s="1" t="s">
        <v>565</v>
      </c>
      <c r="B434" s="4">
        <v>45951</v>
      </c>
      <c r="C434" s="1" t="s">
        <v>88</v>
      </c>
      <c r="D434" s="1" t="s">
        <v>117</v>
      </c>
      <c r="E434" s="1" t="s">
        <v>130</v>
      </c>
      <c r="F434" s="1" t="s">
        <v>126</v>
      </c>
      <c r="G434" s="1">
        <v>40.299999999999997</v>
      </c>
      <c r="H434" s="1">
        <v>65</v>
      </c>
      <c r="I434" s="1">
        <v>4</v>
      </c>
      <c r="J434" s="1">
        <v>84.8</v>
      </c>
      <c r="K434" s="1" t="s">
        <v>120</v>
      </c>
      <c r="L434" s="1" t="s">
        <v>121</v>
      </c>
      <c r="M434" s="1" t="s">
        <v>121</v>
      </c>
    </row>
    <row r="435" spans="1:13" ht="15" customHeight="1">
      <c r="A435" s="1" t="s">
        <v>566</v>
      </c>
      <c r="B435" s="4">
        <v>46016</v>
      </c>
      <c r="C435" s="1" t="s">
        <v>60</v>
      </c>
      <c r="D435" s="1" t="s">
        <v>132</v>
      </c>
      <c r="E435" s="1" t="s">
        <v>130</v>
      </c>
      <c r="F435" s="1" t="s">
        <v>126</v>
      </c>
      <c r="G435" s="1">
        <v>24.3</v>
      </c>
      <c r="H435" s="1">
        <v>41</v>
      </c>
      <c r="I435" s="1">
        <v>4</v>
      </c>
      <c r="J435" s="1">
        <v>77.3</v>
      </c>
      <c r="K435" s="1" t="s">
        <v>120</v>
      </c>
      <c r="L435" s="1" t="s">
        <v>121</v>
      </c>
      <c r="M435" s="1" t="s">
        <v>121</v>
      </c>
    </row>
    <row r="436" spans="1:13" ht="15" customHeight="1">
      <c r="A436" s="1" t="s">
        <v>567</v>
      </c>
      <c r="B436" s="4">
        <v>45803</v>
      </c>
      <c r="C436" s="1" t="s">
        <v>102</v>
      </c>
      <c r="D436" s="1" t="s">
        <v>125</v>
      </c>
      <c r="E436" s="1" t="s">
        <v>134</v>
      </c>
      <c r="F436" s="1" t="s">
        <v>119</v>
      </c>
      <c r="G436" s="1">
        <v>6.4</v>
      </c>
      <c r="H436" s="1">
        <v>28</v>
      </c>
      <c r="I436" s="1">
        <v>4</v>
      </c>
      <c r="J436" s="1">
        <v>96.8</v>
      </c>
      <c r="K436" s="1" t="s">
        <v>120</v>
      </c>
      <c r="L436" s="1" t="s">
        <v>121</v>
      </c>
      <c r="M436" s="1" t="s">
        <v>138</v>
      </c>
    </row>
    <row r="437" spans="1:13" ht="15" customHeight="1">
      <c r="A437" s="1" t="s">
        <v>568</v>
      </c>
      <c r="B437" s="4">
        <v>45815</v>
      </c>
      <c r="C437" s="1" t="s">
        <v>78</v>
      </c>
      <c r="D437" s="1" t="s">
        <v>125</v>
      </c>
      <c r="E437" s="1" t="s">
        <v>130</v>
      </c>
      <c r="F437" s="1" t="s">
        <v>119</v>
      </c>
      <c r="G437" s="1">
        <v>14.3</v>
      </c>
      <c r="H437" s="1">
        <v>39</v>
      </c>
      <c r="I437" s="1">
        <v>5</v>
      </c>
      <c r="J437" s="1">
        <v>86.6</v>
      </c>
      <c r="K437" s="1" t="s">
        <v>120</v>
      </c>
      <c r="L437" s="1" t="s">
        <v>121</v>
      </c>
      <c r="M437" s="1" t="s">
        <v>138</v>
      </c>
    </row>
    <row r="438" spans="1:13" ht="15" customHeight="1">
      <c r="A438" s="1" t="s">
        <v>569</v>
      </c>
      <c r="B438" s="4">
        <v>45742</v>
      </c>
      <c r="C438" s="1" t="s">
        <v>100</v>
      </c>
      <c r="D438" s="1" t="s">
        <v>125</v>
      </c>
      <c r="E438" s="1" t="s">
        <v>145</v>
      </c>
      <c r="F438" s="1" t="s">
        <v>119</v>
      </c>
      <c r="G438" s="1">
        <v>7.1</v>
      </c>
      <c r="H438" s="1">
        <v>45</v>
      </c>
      <c r="I438" s="1">
        <v>3</v>
      </c>
      <c r="J438" s="1">
        <v>80.8</v>
      </c>
      <c r="K438" s="1" t="s">
        <v>120</v>
      </c>
      <c r="L438" s="1" t="s">
        <v>121</v>
      </c>
      <c r="M438" s="1" t="s">
        <v>121</v>
      </c>
    </row>
    <row r="439" spans="1:13" ht="15" customHeight="1">
      <c r="A439" s="1" t="s">
        <v>570</v>
      </c>
      <c r="B439" s="4">
        <v>45878</v>
      </c>
      <c r="C439" s="1" t="s">
        <v>54</v>
      </c>
      <c r="D439" s="1" t="s">
        <v>132</v>
      </c>
      <c r="E439" s="1" t="s">
        <v>147</v>
      </c>
      <c r="F439" s="1" t="s">
        <v>128</v>
      </c>
      <c r="G439" s="1">
        <v>23</v>
      </c>
      <c r="H439" s="1">
        <v>8</v>
      </c>
      <c r="I439" s="1">
        <v>4</v>
      </c>
      <c r="J439" s="1">
        <v>78.8</v>
      </c>
      <c r="K439" s="1" t="s">
        <v>120</v>
      </c>
      <c r="L439" s="1" t="s">
        <v>121</v>
      </c>
      <c r="M439" s="1" t="s">
        <v>121</v>
      </c>
    </row>
    <row r="440" spans="1:13" ht="15" customHeight="1">
      <c r="A440" s="1" t="s">
        <v>571</v>
      </c>
      <c r="B440" s="4">
        <v>45790</v>
      </c>
      <c r="C440" s="1" t="s">
        <v>56</v>
      </c>
      <c r="D440" s="1" t="s">
        <v>117</v>
      </c>
      <c r="E440" s="1" t="s">
        <v>134</v>
      </c>
      <c r="F440" s="1" t="s">
        <v>128</v>
      </c>
      <c r="G440" s="1">
        <v>26.1</v>
      </c>
      <c r="H440" s="1">
        <v>38</v>
      </c>
      <c r="I440" s="1">
        <v>3</v>
      </c>
      <c r="J440" s="1">
        <v>83.6</v>
      </c>
      <c r="K440" s="1" t="s">
        <v>159</v>
      </c>
      <c r="L440" s="1" t="s">
        <v>121</v>
      </c>
      <c r="M440" s="1" t="s">
        <v>121</v>
      </c>
    </row>
    <row r="441" spans="1:13" ht="15" customHeight="1">
      <c r="A441" s="1" t="s">
        <v>572</v>
      </c>
      <c r="B441" s="4">
        <v>45760</v>
      </c>
      <c r="C441" s="1" t="s">
        <v>102</v>
      </c>
      <c r="D441" s="1" t="s">
        <v>125</v>
      </c>
      <c r="E441" s="1" t="s">
        <v>147</v>
      </c>
      <c r="F441" s="1" t="s">
        <v>126</v>
      </c>
      <c r="G441" s="1">
        <v>59.6</v>
      </c>
      <c r="H441" s="1">
        <v>66</v>
      </c>
      <c r="I441" s="1">
        <v>2</v>
      </c>
      <c r="J441" s="1">
        <v>94.5</v>
      </c>
      <c r="K441" s="1" t="s">
        <v>120</v>
      </c>
      <c r="L441" s="1" t="s">
        <v>121</v>
      </c>
      <c r="M441" s="1" t="s">
        <v>121</v>
      </c>
    </row>
    <row r="442" spans="1:13" ht="15" customHeight="1">
      <c r="A442" s="1" t="s">
        <v>573</v>
      </c>
      <c r="B442" s="4">
        <v>45839</v>
      </c>
      <c r="C442" s="1" t="s">
        <v>62</v>
      </c>
      <c r="D442" s="1" t="s">
        <v>132</v>
      </c>
      <c r="E442" s="1" t="s">
        <v>147</v>
      </c>
      <c r="F442" s="1" t="s">
        <v>119</v>
      </c>
      <c r="G442" s="1">
        <v>12.8</v>
      </c>
      <c r="H442" s="1">
        <v>10</v>
      </c>
      <c r="I442" s="1">
        <v>5</v>
      </c>
      <c r="J442" s="1">
        <v>88.8</v>
      </c>
      <c r="K442" s="1" t="s">
        <v>120</v>
      </c>
      <c r="L442" s="1" t="s">
        <v>121</v>
      </c>
      <c r="M442" s="1" t="s">
        <v>138</v>
      </c>
    </row>
    <row r="443" spans="1:13" ht="15" customHeight="1">
      <c r="A443" s="1" t="s">
        <v>574</v>
      </c>
      <c r="B443" s="4">
        <v>45702</v>
      </c>
      <c r="C443" s="1" t="s">
        <v>62</v>
      </c>
      <c r="D443" s="1" t="s">
        <v>117</v>
      </c>
      <c r="E443" s="1" t="s">
        <v>130</v>
      </c>
      <c r="F443" s="1" t="s">
        <v>135</v>
      </c>
      <c r="G443" s="1">
        <v>3.4</v>
      </c>
      <c r="H443" s="1">
        <v>4</v>
      </c>
      <c r="I443" s="1">
        <v>4</v>
      </c>
      <c r="J443" s="1">
        <v>89.5</v>
      </c>
      <c r="K443" s="1" t="s">
        <v>120</v>
      </c>
      <c r="L443" s="1" t="s">
        <v>121</v>
      </c>
      <c r="M443" s="1" t="s">
        <v>138</v>
      </c>
    </row>
    <row r="444" spans="1:13" ht="15" customHeight="1">
      <c r="A444" s="1" t="s">
        <v>575</v>
      </c>
      <c r="B444" s="4">
        <v>45753</v>
      </c>
      <c r="C444" s="1" t="s">
        <v>86</v>
      </c>
      <c r="D444" s="1" t="s">
        <v>117</v>
      </c>
      <c r="E444" s="1" t="s">
        <v>118</v>
      </c>
      <c r="F444" s="1" t="s">
        <v>135</v>
      </c>
      <c r="G444" s="1">
        <v>3.2</v>
      </c>
      <c r="H444" s="1">
        <v>23</v>
      </c>
      <c r="I444" s="1">
        <v>1</v>
      </c>
      <c r="J444" s="1">
        <v>83.6</v>
      </c>
      <c r="K444" s="1" t="s">
        <v>120</v>
      </c>
      <c r="L444" s="1" t="s">
        <v>138</v>
      </c>
      <c r="M444" s="1" t="s">
        <v>121</v>
      </c>
    </row>
    <row r="445" spans="1:13" ht="15" customHeight="1">
      <c r="A445" s="1" t="s">
        <v>576</v>
      </c>
      <c r="B445" s="4">
        <v>45857</v>
      </c>
      <c r="C445" s="1" t="s">
        <v>56</v>
      </c>
      <c r="D445" s="1" t="s">
        <v>125</v>
      </c>
      <c r="E445" s="1" t="s">
        <v>145</v>
      </c>
      <c r="F445" s="1" t="s">
        <v>126</v>
      </c>
      <c r="G445" s="1">
        <v>25</v>
      </c>
      <c r="H445" s="1">
        <v>48</v>
      </c>
      <c r="I445" s="1">
        <v>4</v>
      </c>
      <c r="J445" s="1">
        <v>88.1</v>
      </c>
      <c r="K445" s="1" t="s">
        <v>120</v>
      </c>
      <c r="L445" s="1" t="s">
        <v>121</v>
      </c>
      <c r="M445" s="1" t="s">
        <v>121</v>
      </c>
    </row>
    <row r="446" spans="1:13" ht="15" customHeight="1">
      <c r="A446" s="1" t="s">
        <v>577</v>
      </c>
      <c r="B446" s="4">
        <v>45682</v>
      </c>
      <c r="C446" s="1" t="s">
        <v>56</v>
      </c>
      <c r="D446" s="1" t="s">
        <v>132</v>
      </c>
      <c r="E446" s="1" t="s">
        <v>134</v>
      </c>
      <c r="F446" s="1" t="s">
        <v>135</v>
      </c>
      <c r="G446" s="1">
        <v>2.4</v>
      </c>
      <c r="H446" s="1">
        <v>24</v>
      </c>
      <c r="I446" s="1">
        <v>4</v>
      </c>
      <c r="J446" s="1">
        <v>97.3</v>
      </c>
      <c r="K446" s="1" t="s">
        <v>120</v>
      </c>
      <c r="L446" s="1" t="s">
        <v>121</v>
      </c>
      <c r="M446" s="1" t="s">
        <v>138</v>
      </c>
    </row>
    <row r="447" spans="1:13" ht="15" customHeight="1">
      <c r="A447" s="1" t="s">
        <v>578</v>
      </c>
      <c r="B447" s="4">
        <v>45887</v>
      </c>
      <c r="C447" s="1" t="s">
        <v>56</v>
      </c>
      <c r="D447" s="1" t="s">
        <v>125</v>
      </c>
      <c r="E447" s="1" t="s">
        <v>134</v>
      </c>
      <c r="F447" s="1" t="s">
        <v>119</v>
      </c>
      <c r="G447" s="1">
        <v>7.9</v>
      </c>
      <c r="H447" s="1">
        <v>59</v>
      </c>
      <c r="I447" s="1">
        <v>4</v>
      </c>
      <c r="J447" s="1">
        <v>77.599999999999994</v>
      </c>
      <c r="K447" s="1" t="s">
        <v>120</v>
      </c>
      <c r="L447" s="1" t="s">
        <v>121</v>
      </c>
      <c r="M447" s="1" t="s">
        <v>121</v>
      </c>
    </row>
    <row r="448" spans="1:13" ht="15" customHeight="1">
      <c r="A448" s="1" t="s">
        <v>579</v>
      </c>
      <c r="B448" s="4">
        <v>45982</v>
      </c>
      <c r="C448" s="1" t="s">
        <v>56</v>
      </c>
      <c r="D448" s="1" t="s">
        <v>132</v>
      </c>
      <c r="E448" s="1" t="s">
        <v>147</v>
      </c>
      <c r="F448" s="1" t="s">
        <v>128</v>
      </c>
      <c r="G448" s="1">
        <v>14.9</v>
      </c>
      <c r="H448" s="1">
        <v>41</v>
      </c>
      <c r="I448" s="1">
        <v>5</v>
      </c>
      <c r="J448" s="1">
        <v>74</v>
      </c>
      <c r="K448" s="1" t="s">
        <v>120</v>
      </c>
      <c r="L448" s="1" t="s">
        <v>121</v>
      </c>
      <c r="M448" s="1" t="s">
        <v>121</v>
      </c>
    </row>
    <row r="449" spans="1:13" ht="15" customHeight="1">
      <c r="A449" s="1" t="s">
        <v>580</v>
      </c>
      <c r="B449" s="4">
        <v>45846</v>
      </c>
      <c r="C449" s="1" t="s">
        <v>84</v>
      </c>
      <c r="D449" s="1" t="s">
        <v>125</v>
      </c>
      <c r="E449" s="1" t="s">
        <v>145</v>
      </c>
      <c r="F449" s="1" t="s">
        <v>128</v>
      </c>
      <c r="G449" s="1">
        <v>7.4</v>
      </c>
      <c r="H449" s="1">
        <v>48</v>
      </c>
      <c r="I449" s="1">
        <v>4</v>
      </c>
      <c r="J449" s="1">
        <v>97.2</v>
      </c>
      <c r="K449" s="1" t="s">
        <v>120</v>
      </c>
      <c r="L449" s="1" t="s">
        <v>121</v>
      </c>
      <c r="M449" s="1" t="s">
        <v>138</v>
      </c>
    </row>
    <row r="450" spans="1:13" ht="15" customHeight="1">
      <c r="A450" s="1" t="s">
        <v>581</v>
      </c>
      <c r="B450" s="4">
        <v>45990</v>
      </c>
      <c r="C450" s="1" t="s">
        <v>77</v>
      </c>
      <c r="D450" s="1" t="s">
        <v>125</v>
      </c>
      <c r="E450" s="1" t="s">
        <v>123</v>
      </c>
      <c r="F450" s="1" t="s">
        <v>128</v>
      </c>
      <c r="G450" s="1">
        <v>22.7</v>
      </c>
      <c r="H450" s="1">
        <v>32</v>
      </c>
      <c r="I450" s="1">
        <v>5</v>
      </c>
      <c r="J450" s="1">
        <v>97</v>
      </c>
      <c r="K450" s="1" t="s">
        <v>120</v>
      </c>
      <c r="L450" s="1" t="s">
        <v>121</v>
      </c>
      <c r="M450" s="1" t="s">
        <v>121</v>
      </c>
    </row>
    <row r="451" spans="1:13" ht="15" customHeight="1">
      <c r="A451" s="1" t="s">
        <v>582</v>
      </c>
      <c r="B451" s="4">
        <v>45982</v>
      </c>
      <c r="C451" s="1" t="s">
        <v>56</v>
      </c>
      <c r="D451" s="1" t="s">
        <v>117</v>
      </c>
      <c r="E451" s="1" t="s">
        <v>123</v>
      </c>
      <c r="F451" s="1" t="s">
        <v>126</v>
      </c>
      <c r="G451" s="1">
        <v>32.299999999999997</v>
      </c>
      <c r="H451" s="1">
        <v>35</v>
      </c>
      <c r="I451" s="1">
        <v>4</v>
      </c>
      <c r="J451" s="1">
        <v>94.1</v>
      </c>
      <c r="K451" s="1" t="s">
        <v>120</v>
      </c>
      <c r="L451" s="1" t="s">
        <v>121</v>
      </c>
      <c r="M451" s="1" t="s">
        <v>121</v>
      </c>
    </row>
    <row r="452" spans="1:13" ht="15" customHeight="1">
      <c r="A452" s="1" t="s">
        <v>583</v>
      </c>
      <c r="B452" s="4">
        <v>45700</v>
      </c>
      <c r="C452" s="1" t="s">
        <v>98</v>
      </c>
      <c r="D452" s="1" t="s">
        <v>117</v>
      </c>
      <c r="E452" s="1" t="s">
        <v>130</v>
      </c>
      <c r="F452" s="1" t="s">
        <v>128</v>
      </c>
      <c r="G452" s="1">
        <v>31.7</v>
      </c>
      <c r="H452" s="1">
        <v>1</v>
      </c>
      <c r="I452" s="1">
        <v>5</v>
      </c>
      <c r="J452" s="1">
        <v>86.3</v>
      </c>
      <c r="K452" s="1" t="s">
        <v>120</v>
      </c>
      <c r="L452" s="1" t="s">
        <v>121</v>
      </c>
      <c r="M452" s="1" t="s">
        <v>121</v>
      </c>
    </row>
    <row r="453" spans="1:13" ht="15" customHeight="1">
      <c r="A453" s="1" t="s">
        <v>584</v>
      </c>
      <c r="B453" s="4">
        <v>45822</v>
      </c>
      <c r="C453" s="1" t="s">
        <v>78</v>
      </c>
      <c r="D453" s="1" t="s">
        <v>125</v>
      </c>
      <c r="E453" s="1" t="s">
        <v>145</v>
      </c>
      <c r="F453" s="1" t="s">
        <v>126</v>
      </c>
      <c r="G453" s="1">
        <v>32.5</v>
      </c>
      <c r="H453" s="1">
        <v>45</v>
      </c>
      <c r="I453" s="1">
        <v>5</v>
      </c>
      <c r="J453" s="1">
        <v>92.8</v>
      </c>
      <c r="K453" s="1" t="s">
        <v>120</v>
      </c>
      <c r="L453" s="1" t="s">
        <v>121</v>
      </c>
      <c r="M453" s="1" t="s">
        <v>121</v>
      </c>
    </row>
    <row r="454" spans="1:13" ht="15" customHeight="1">
      <c r="A454" s="1" t="s">
        <v>585</v>
      </c>
      <c r="B454" s="4">
        <v>45920</v>
      </c>
      <c r="C454" s="1" t="s">
        <v>56</v>
      </c>
      <c r="D454" s="1" t="s">
        <v>117</v>
      </c>
      <c r="E454" s="1" t="s">
        <v>134</v>
      </c>
      <c r="F454" s="1" t="s">
        <v>128</v>
      </c>
      <c r="G454" s="1">
        <v>4.3</v>
      </c>
      <c r="H454" s="1">
        <v>54</v>
      </c>
      <c r="I454" s="1">
        <v>5</v>
      </c>
      <c r="J454" s="1">
        <v>100</v>
      </c>
      <c r="K454" s="1" t="s">
        <v>120</v>
      </c>
      <c r="L454" s="1" t="s">
        <v>121</v>
      </c>
      <c r="M454" s="1" t="s">
        <v>121</v>
      </c>
    </row>
    <row r="455" spans="1:13" ht="15" customHeight="1">
      <c r="A455" s="1" t="s">
        <v>586</v>
      </c>
      <c r="B455" s="4">
        <v>45785</v>
      </c>
      <c r="C455" s="1" t="s">
        <v>67</v>
      </c>
      <c r="D455" s="1" t="s">
        <v>132</v>
      </c>
      <c r="E455" s="1" t="s">
        <v>134</v>
      </c>
      <c r="F455" s="1" t="s">
        <v>119</v>
      </c>
      <c r="G455" s="1">
        <v>18.100000000000001</v>
      </c>
      <c r="H455" s="1">
        <v>29</v>
      </c>
      <c r="I455" s="1">
        <v>4</v>
      </c>
      <c r="J455" s="1">
        <v>76.900000000000006</v>
      </c>
      <c r="K455" s="1" t="s">
        <v>120</v>
      </c>
      <c r="L455" s="1" t="s">
        <v>121</v>
      </c>
      <c r="M455" s="1" t="s">
        <v>121</v>
      </c>
    </row>
    <row r="456" spans="1:13" ht="15" customHeight="1">
      <c r="A456" s="1" t="s">
        <v>587</v>
      </c>
      <c r="B456" s="4">
        <v>45671</v>
      </c>
      <c r="C456" s="1" t="s">
        <v>51</v>
      </c>
      <c r="D456" s="1" t="s">
        <v>125</v>
      </c>
      <c r="E456" s="1" t="s">
        <v>145</v>
      </c>
      <c r="F456" s="1" t="s">
        <v>126</v>
      </c>
      <c r="G456" s="1">
        <v>17.2</v>
      </c>
      <c r="H456" s="1">
        <v>41</v>
      </c>
      <c r="I456" s="1">
        <v>3</v>
      </c>
      <c r="J456" s="1">
        <v>82.4</v>
      </c>
      <c r="K456" s="1" t="s">
        <v>120</v>
      </c>
      <c r="L456" s="1" t="s">
        <v>121</v>
      </c>
      <c r="M456" s="1" t="s">
        <v>121</v>
      </c>
    </row>
    <row r="457" spans="1:13" ht="15" customHeight="1">
      <c r="A457" s="1" t="s">
        <v>588</v>
      </c>
      <c r="B457" s="4">
        <v>46013</v>
      </c>
      <c r="C457" s="1" t="s">
        <v>56</v>
      </c>
      <c r="D457" s="1" t="s">
        <v>117</v>
      </c>
      <c r="E457" s="1" t="s">
        <v>118</v>
      </c>
      <c r="F457" s="1" t="s">
        <v>126</v>
      </c>
      <c r="G457" s="1">
        <v>74.400000000000006</v>
      </c>
      <c r="H457" s="1">
        <v>52</v>
      </c>
      <c r="I457" s="1">
        <v>5</v>
      </c>
      <c r="J457" s="1">
        <v>86.6</v>
      </c>
      <c r="K457" s="1" t="s">
        <v>120</v>
      </c>
      <c r="L457" s="1" t="s">
        <v>121</v>
      </c>
      <c r="M457" s="1" t="s">
        <v>121</v>
      </c>
    </row>
    <row r="458" spans="1:13" ht="15" customHeight="1">
      <c r="A458" s="1" t="s">
        <v>589</v>
      </c>
      <c r="B458" s="4">
        <v>45715</v>
      </c>
      <c r="C458" s="1" t="s">
        <v>56</v>
      </c>
      <c r="D458" s="1" t="s">
        <v>132</v>
      </c>
      <c r="E458" s="1" t="s">
        <v>123</v>
      </c>
      <c r="F458" s="1" t="s">
        <v>126</v>
      </c>
      <c r="G458" s="1">
        <v>18.5</v>
      </c>
      <c r="H458" s="1">
        <v>30</v>
      </c>
      <c r="I458" s="1">
        <v>3</v>
      </c>
      <c r="J458" s="1">
        <v>91.3</v>
      </c>
      <c r="K458" s="1" t="s">
        <v>120</v>
      </c>
      <c r="L458" s="1" t="s">
        <v>121</v>
      </c>
      <c r="M458" s="1" t="s">
        <v>121</v>
      </c>
    </row>
    <row r="459" spans="1:13" ht="15" customHeight="1">
      <c r="A459" s="1" t="s">
        <v>590</v>
      </c>
      <c r="B459" s="4">
        <v>45900</v>
      </c>
      <c r="C459" s="1" t="s">
        <v>102</v>
      </c>
      <c r="D459" s="1" t="s">
        <v>125</v>
      </c>
      <c r="E459" s="1" t="s">
        <v>123</v>
      </c>
      <c r="F459" s="1" t="s">
        <v>119</v>
      </c>
      <c r="G459" s="1">
        <v>4.8</v>
      </c>
      <c r="H459" s="1">
        <v>11</v>
      </c>
      <c r="I459" s="1">
        <v>5</v>
      </c>
      <c r="J459" s="1">
        <v>96.5</v>
      </c>
      <c r="K459" s="1" t="s">
        <v>120</v>
      </c>
      <c r="L459" s="1" t="s">
        <v>121</v>
      </c>
      <c r="M459" s="1" t="s">
        <v>121</v>
      </c>
    </row>
    <row r="460" spans="1:13" ht="15" customHeight="1">
      <c r="A460" s="1" t="s">
        <v>591</v>
      </c>
      <c r="B460" s="4">
        <v>45861</v>
      </c>
      <c r="C460" s="1" t="s">
        <v>98</v>
      </c>
      <c r="D460" s="1" t="s">
        <v>117</v>
      </c>
      <c r="E460" s="1" t="s">
        <v>118</v>
      </c>
      <c r="F460" s="1" t="s">
        <v>119</v>
      </c>
      <c r="G460" s="1">
        <v>6.4</v>
      </c>
      <c r="H460" s="1">
        <v>27</v>
      </c>
      <c r="I460" s="1">
        <v>4</v>
      </c>
      <c r="J460" s="1">
        <v>82.3</v>
      </c>
      <c r="K460" s="1" t="s">
        <v>120</v>
      </c>
      <c r="L460" s="1" t="s">
        <v>121</v>
      </c>
      <c r="M460" s="1" t="s">
        <v>121</v>
      </c>
    </row>
    <row r="461" spans="1:13" ht="15" customHeight="1">
      <c r="A461" s="1" t="s">
        <v>592</v>
      </c>
      <c r="B461" s="4">
        <v>45872</v>
      </c>
      <c r="C461" s="1" t="s">
        <v>51</v>
      </c>
      <c r="D461" s="1" t="s">
        <v>132</v>
      </c>
      <c r="E461" s="1" t="s">
        <v>134</v>
      </c>
      <c r="F461" s="1" t="s">
        <v>126</v>
      </c>
      <c r="G461" s="1">
        <v>43.3</v>
      </c>
      <c r="H461" s="1">
        <v>30</v>
      </c>
      <c r="I461" s="1">
        <v>4</v>
      </c>
      <c r="J461" s="1">
        <v>86.3</v>
      </c>
      <c r="K461" s="1" t="s">
        <v>120</v>
      </c>
      <c r="L461" s="1" t="s">
        <v>121</v>
      </c>
      <c r="M461" s="1" t="s">
        <v>121</v>
      </c>
    </row>
    <row r="462" spans="1:13" ht="15" customHeight="1">
      <c r="A462" s="1" t="s">
        <v>593</v>
      </c>
      <c r="B462" s="4">
        <v>45889</v>
      </c>
      <c r="C462" s="1" t="s">
        <v>60</v>
      </c>
      <c r="D462" s="1" t="s">
        <v>132</v>
      </c>
      <c r="E462" s="1" t="s">
        <v>145</v>
      </c>
      <c r="F462" s="1" t="s">
        <v>119</v>
      </c>
      <c r="G462" s="1">
        <v>4</v>
      </c>
      <c r="H462" s="1">
        <v>33</v>
      </c>
      <c r="I462" s="1">
        <v>5</v>
      </c>
      <c r="J462" s="1">
        <v>89.4</v>
      </c>
      <c r="K462" s="1" t="s">
        <v>120</v>
      </c>
      <c r="L462" s="1" t="s">
        <v>121</v>
      </c>
      <c r="M462" s="1" t="s">
        <v>121</v>
      </c>
    </row>
    <row r="463" spans="1:13" ht="15" customHeight="1">
      <c r="A463" s="1" t="s">
        <v>594</v>
      </c>
      <c r="B463" s="4">
        <v>45963</v>
      </c>
      <c r="C463" s="1" t="s">
        <v>90</v>
      </c>
      <c r="D463" s="1" t="s">
        <v>132</v>
      </c>
      <c r="E463" s="1" t="s">
        <v>123</v>
      </c>
      <c r="F463" s="1" t="s">
        <v>119</v>
      </c>
      <c r="G463" s="1">
        <v>17.3</v>
      </c>
      <c r="H463" s="1">
        <v>15</v>
      </c>
      <c r="I463" s="1">
        <v>5</v>
      </c>
      <c r="J463" s="1">
        <v>94.7</v>
      </c>
      <c r="K463" s="1" t="s">
        <v>120</v>
      </c>
      <c r="L463" s="1" t="s">
        <v>121</v>
      </c>
      <c r="M463" s="1" t="s">
        <v>138</v>
      </c>
    </row>
    <row r="464" spans="1:13" ht="15" customHeight="1">
      <c r="A464" s="1" t="s">
        <v>595</v>
      </c>
      <c r="B464" s="4">
        <v>45968</v>
      </c>
      <c r="C464" s="1" t="s">
        <v>86</v>
      </c>
      <c r="D464" s="1" t="s">
        <v>132</v>
      </c>
      <c r="E464" s="1" t="s">
        <v>134</v>
      </c>
      <c r="F464" s="1" t="s">
        <v>126</v>
      </c>
      <c r="G464" s="1">
        <v>47</v>
      </c>
      <c r="H464" s="1">
        <v>37</v>
      </c>
      <c r="I464" s="1">
        <v>4</v>
      </c>
      <c r="J464" s="1">
        <v>78.2</v>
      </c>
      <c r="K464" s="1" t="s">
        <v>120</v>
      </c>
      <c r="L464" s="1" t="s">
        <v>121</v>
      </c>
      <c r="M464" s="1" t="s">
        <v>121</v>
      </c>
    </row>
    <row r="465" spans="1:13" ht="15" customHeight="1">
      <c r="A465" s="1" t="s">
        <v>596</v>
      </c>
      <c r="B465" s="4">
        <v>45967</v>
      </c>
      <c r="C465" s="1" t="s">
        <v>88</v>
      </c>
      <c r="D465" s="1" t="s">
        <v>132</v>
      </c>
      <c r="E465" s="1" t="s">
        <v>118</v>
      </c>
      <c r="F465" s="1" t="s">
        <v>128</v>
      </c>
      <c r="G465" s="1">
        <v>3.7</v>
      </c>
      <c r="H465" s="1">
        <v>44</v>
      </c>
      <c r="I465" s="1">
        <v>3</v>
      </c>
      <c r="J465" s="1">
        <v>81.3</v>
      </c>
      <c r="K465" s="1" t="s">
        <v>120</v>
      </c>
      <c r="L465" s="1" t="s">
        <v>121</v>
      </c>
      <c r="M465" s="1" t="s">
        <v>121</v>
      </c>
    </row>
    <row r="466" spans="1:13" ht="15" customHeight="1">
      <c r="A466" s="1" t="s">
        <v>597</v>
      </c>
      <c r="B466" s="4">
        <v>45775</v>
      </c>
      <c r="C466" s="1" t="s">
        <v>73</v>
      </c>
      <c r="D466" s="1" t="s">
        <v>125</v>
      </c>
      <c r="E466" s="1" t="s">
        <v>123</v>
      </c>
      <c r="F466" s="1" t="s">
        <v>128</v>
      </c>
      <c r="G466" s="1">
        <v>9.6999999999999993</v>
      </c>
      <c r="H466" s="1">
        <v>24</v>
      </c>
      <c r="I466" s="1">
        <v>5</v>
      </c>
      <c r="J466" s="1">
        <v>98.9</v>
      </c>
      <c r="K466" s="1" t="s">
        <v>120</v>
      </c>
      <c r="L466" s="1" t="s">
        <v>121</v>
      </c>
      <c r="M466" s="1" t="s">
        <v>121</v>
      </c>
    </row>
    <row r="467" spans="1:13" ht="15" customHeight="1">
      <c r="A467" s="1" t="s">
        <v>598</v>
      </c>
      <c r="B467" s="4">
        <v>45911</v>
      </c>
      <c r="C467" s="1" t="s">
        <v>75</v>
      </c>
      <c r="D467" s="1" t="s">
        <v>125</v>
      </c>
      <c r="E467" s="1" t="s">
        <v>147</v>
      </c>
      <c r="F467" s="1" t="s">
        <v>119</v>
      </c>
      <c r="G467" s="1">
        <v>10.8</v>
      </c>
      <c r="H467" s="1">
        <v>1</v>
      </c>
      <c r="I467" s="1">
        <v>3</v>
      </c>
      <c r="J467" s="1">
        <v>90.8</v>
      </c>
      <c r="K467" s="1" t="s">
        <v>120</v>
      </c>
      <c r="L467" s="1" t="s">
        <v>121</v>
      </c>
      <c r="M467" s="1" t="s">
        <v>121</v>
      </c>
    </row>
    <row r="468" spans="1:13" ht="15" customHeight="1">
      <c r="A468" s="1" t="s">
        <v>599</v>
      </c>
      <c r="B468" s="4">
        <v>45775</v>
      </c>
      <c r="C468" s="1" t="s">
        <v>46</v>
      </c>
      <c r="D468" s="1" t="s">
        <v>125</v>
      </c>
      <c r="E468" s="1" t="s">
        <v>118</v>
      </c>
      <c r="F468" s="1" t="s">
        <v>135</v>
      </c>
      <c r="G468" s="1">
        <v>3.4</v>
      </c>
      <c r="H468" s="1">
        <v>18</v>
      </c>
      <c r="I468" s="1">
        <v>1</v>
      </c>
      <c r="J468" s="1">
        <v>90.2</v>
      </c>
      <c r="K468" s="1" t="s">
        <v>120</v>
      </c>
      <c r="L468" s="1" t="s">
        <v>138</v>
      </c>
      <c r="M468" s="1" t="s">
        <v>138</v>
      </c>
    </row>
    <row r="469" spans="1:13" ht="15" customHeight="1">
      <c r="A469" s="1" t="s">
        <v>600</v>
      </c>
      <c r="B469" s="4">
        <v>45717</v>
      </c>
      <c r="C469" s="1" t="s">
        <v>56</v>
      </c>
      <c r="D469" s="1" t="s">
        <v>132</v>
      </c>
      <c r="E469" s="1" t="s">
        <v>134</v>
      </c>
      <c r="F469" s="1" t="s">
        <v>126</v>
      </c>
      <c r="G469" s="1">
        <v>39.6</v>
      </c>
      <c r="H469" s="1">
        <v>41</v>
      </c>
      <c r="I469" s="1">
        <v>4</v>
      </c>
      <c r="J469" s="1">
        <v>87.6</v>
      </c>
      <c r="K469" s="1" t="s">
        <v>120</v>
      </c>
      <c r="L469" s="1" t="s">
        <v>121</v>
      </c>
      <c r="M469" s="1" t="s">
        <v>121</v>
      </c>
    </row>
    <row r="470" spans="1:13" ht="15" customHeight="1">
      <c r="A470" s="1" t="s">
        <v>601</v>
      </c>
      <c r="B470" s="4">
        <v>45815</v>
      </c>
      <c r="C470" s="1" t="s">
        <v>100</v>
      </c>
      <c r="D470" s="1" t="s">
        <v>132</v>
      </c>
      <c r="E470" s="1" t="s">
        <v>130</v>
      </c>
      <c r="F470" s="1" t="s">
        <v>126</v>
      </c>
      <c r="G470" s="1">
        <v>47.4</v>
      </c>
      <c r="H470" s="1">
        <v>77</v>
      </c>
      <c r="I470" s="1">
        <v>5</v>
      </c>
      <c r="J470" s="1">
        <v>93.7</v>
      </c>
      <c r="K470" s="1" t="s">
        <v>120</v>
      </c>
      <c r="L470" s="1" t="s">
        <v>121</v>
      </c>
      <c r="M470" s="1" t="s">
        <v>121</v>
      </c>
    </row>
    <row r="471" spans="1:13" ht="15" customHeight="1">
      <c r="A471" s="1" t="s">
        <v>602</v>
      </c>
      <c r="B471" s="4">
        <v>45915</v>
      </c>
      <c r="C471" s="1" t="s">
        <v>90</v>
      </c>
      <c r="D471" s="1" t="s">
        <v>117</v>
      </c>
      <c r="E471" s="1" t="s">
        <v>118</v>
      </c>
      <c r="F471" s="1" t="s">
        <v>128</v>
      </c>
      <c r="G471" s="1">
        <v>20</v>
      </c>
      <c r="H471" s="1">
        <v>8</v>
      </c>
      <c r="I471" s="1">
        <v>5</v>
      </c>
      <c r="J471" s="1">
        <v>91.3</v>
      </c>
      <c r="K471" s="1" t="s">
        <v>120</v>
      </c>
      <c r="L471" s="1" t="s">
        <v>121</v>
      </c>
      <c r="M471" s="1" t="s">
        <v>121</v>
      </c>
    </row>
    <row r="472" spans="1:13" ht="15" customHeight="1">
      <c r="A472" s="1" t="s">
        <v>603</v>
      </c>
      <c r="B472" s="4">
        <v>45907</v>
      </c>
      <c r="C472" s="1" t="s">
        <v>69</v>
      </c>
      <c r="D472" s="1" t="s">
        <v>117</v>
      </c>
      <c r="E472" s="1" t="s">
        <v>130</v>
      </c>
      <c r="F472" s="1" t="s">
        <v>126</v>
      </c>
      <c r="G472" s="1">
        <v>63</v>
      </c>
      <c r="H472" s="1">
        <v>62</v>
      </c>
      <c r="I472" s="1">
        <v>1</v>
      </c>
      <c r="J472" s="1">
        <v>86.6</v>
      </c>
      <c r="K472" s="1" t="s">
        <v>120</v>
      </c>
      <c r="L472" s="1" t="s">
        <v>121</v>
      </c>
      <c r="M472" s="1" t="s">
        <v>121</v>
      </c>
    </row>
    <row r="473" spans="1:13" ht="15" customHeight="1">
      <c r="A473" s="1" t="s">
        <v>604</v>
      </c>
      <c r="B473" s="4">
        <v>45836</v>
      </c>
      <c r="C473" s="1" t="s">
        <v>56</v>
      </c>
      <c r="D473" s="1" t="s">
        <v>125</v>
      </c>
      <c r="E473" s="1" t="s">
        <v>147</v>
      </c>
      <c r="F473" s="1" t="s">
        <v>126</v>
      </c>
      <c r="G473" s="1">
        <v>27.3</v>
      </c>
      <c r="H473" s="1">
        <v>50</v>
      </c>
      <c r="I473" s="1">
        <v>3</v>
      </c>
      <c r="J473" s="1">
        <v>71.5</v>
      </c>
      <c r="K473" s="1" t="s">
        <v>120</v>
      </c>
      <c r="L473" s="1" t="s">
        <v>121</v>
      </c>
      <c r="M473" s="1" t="s">
        <v>121</v>
      </c>
    </row>
    <row r="474" spans="1:13" ht="15" customHeight="1">
      <c r="A474" s="1" t="s">
        <v>605</v>
      </c>
      <c r="B474" s="4">
        <v>45694</v>
      </c>
      <c r="C474" s="1" t="s">
        <v>96</v>
      </c>
      <c r="D474" s="1" t="s">
        <v>132</v>
      </c>
      <c r="E474" s="1" t="s">
        <v>118</v>
      </c>
      <c r="F474" s="1" t="s">
        <v>128</v>
      </c>
      <c r="G474" s="1">
        <v>20.100000000000001</v>
      </c>
      <c r="H474" s="1">
        <v>32</v>
      </c>
      <c r="I474" s="1">
        <v>4</v>
      </c>
      <c r="J474" s="1">
        <v>90.4</v>
      </c>
      <c r="K474" s="1" t="s">
        <v>120</v>
      </c>
      <c r="L474" s="1" t="s">
        <v>121</v>
      </c>
      <c r="M474" s="1" t="s">
        <v>121</v>
      </c>
    </row>
    <row r="475" spans="1:13" ht="15" customHeight="1">
      <c r="A475" s="1" t="s">
        <v>606</v>
      </c>
      <c r="B475" s="4">
        <v>45717</v>
      </c>
      <c r="C475" s="1" t="s">
        <v>88</v>
      </c>
      <c r="D475" s="1" t="s">
        <v>132</v>
      </c>
      <c r="E475" s="1" t="s">
        <v>118</v>
      </c>
      <c r="F475" s="1" t="s">
        <v>119</v>
      </c>
      <c r="G475" s="1">
        <v>17.5</v>
      </c>
      <c r="H475" s="1">
        <v>1</v>
      </c>
      <c r="I475" s="1">
        <v>5</v>
      </c>
      <c r="J475" s="1">
        <v>72.5</v>
      </c>
      <c r="K475" s="1" t="s">
        <v>120</v>
      </c>
      <c r="L475" s="1" t="s">
        <v>121</v>
      </c>
      <c r="M475" s="1" t="s">
        <v>121</v>
      </c>
    </row>
    <row r="476" spans="1:13" ht="15" customHeight="1">
      <c r="A476" s="1" t="s">
        <v>607</v>
      </c>
      <c r="B476" s="4">
        <v>45822</v>
      </c>
      <c r="C476" s="1" t="s">
        <v>51</v>
      </c>
      <c r="D476" s="1" t="s">
        <v>125</v>
      </c>
      <c r="E476" s="1" t="s">
        <v>123</v>
      </c>
      <c r="F476" s="1" t="s">
        <v>128</v>
      </c>
      <c r="G476" s="1">
        <v>18</v>
      </c>
      <c r="H476" s="1">
        <v>68</v>
      </c>
      <c r="I476" s="1">
        <v>4</v>
      </c>
      <c r="J476" s="1">
        <v>84.3</v>
      </c>
      <c r="K476" s="1" t="s">
        <v>120</v>
      </c>
      <c r="L476" s="1" t="s">
        <v>138</v>
      </c>
      <c r="M476" s="1" t="s">
        <v>121</v>
      </c>
    </row>
    <row r="477" spans="1:13" ht="15" customHeight="1">
      <c r="A477" s="1" t="s">
        <v>608</v>
      </c>
      <c r="B477" s="4">
        <v>45756</v>
      </c>
      <c r="C477" s="1" t="s">
        <v>67</v>
      </c>
      <c r="D477" s="1" t="s">
        <v>125</v>
      </c>
      <c r="E477" s="1" t="s">
        <v>134</v>
      </c>
      <c r="F477" s="1" t="s">
        <v>126</v>
      </c>
      <c r="G477" s="1">
        <v>51.1</v>
      </c>
      <c r="H477" s="1">
        <v>75</v>
      </c>
      <c r="I477" s="1">
        <v>4</v>
      </c>
      <c r="J477" s="1">
        <v>100</v>
      </c>
      <c r="K477" s="1" t="s">
        <v>120</v>
      </c>
      <c r="L477" s="1" t="s">
        <v>121</v>
      </c>
      <c r="M477" s="1" t="s">
        <v>121</v>
      </c>
    </row>
    <row r="478" spans="1:13" ht="15" customHeight="1">
      <c r="A478" s="1" t="s">
        <v>609</v>
      </c>
      <c r="B478" s="4">
        <v>45681</v>
      </c>
      <c r="C478" s="1" t="s">
        <v>46</v>
      </c>
      <c r="D478" s="1" t="s">
        <v>117</v>
      </c>
      <c r="E478" s="1" t="s">
        <v>147</v>
      </c>
      <c r="F478" s="1" t="s">
        <v>128</v>
      </c>
      <c r="G478" s="1">
        <v>9.8000000000000007</v>
      </c>
      <c r="H478" s="1">
        <v>51</v>
      </c>
      <c r="I478" s="1">
        <v>2</v>
      </c>
      <c r="J478" s="1">
        <v>89.6</v>
      </c>
      <c r="K478" s="1" t="s">
        <v>120</v>
      </c>
      <c r="L478" s="1" t="s">
        <v>121</v>
      </c>
      <c r="M478" s="1" t="s">
        <v>121</v>
      </c>
    </row>
    <row r="479" spans="1:13" ht="15" customHeight="1">
      <c r="A479" s="1" t="s">
        <v>610</v>
      </c>
      <c r="B479" s="4">
        <v>45747</v>
      </c>
      <c r="C479" s="1" t="s">
        <v>75</v>
      </c>
      <c r="D479" s="1" t="s">
        <v>117</v>
      </c>
      <c r="E479" s="1" t="s">
        <v>123</v>
      </c>
      <c r="F479" s="1" t="s">
        <v>119</v>
      </c>
      <c r="G479" s="1">
        <v>17.399999999999999</v>
      </c>
      <c r="H479" s="1">
        <v>60</v>
      </c>
      <c r="I479" s="1">
        <v>1</v>
      </c>
      <c r="J479" s="1">
        <v>84.1</v>
      </c>
      <c r="K479" s="1" t="s">
        <v>120</v>
      </c>
      <c r="L479" s="1" t="s">
        <v>138</v>
      </c>
      <c r="M479" s="1" t="s">
        <v>121</v>
      </c>
    </row>
    <row r="480" spans="1:13" ht="15" customHeight="1">
      <c r="A480" s="1" t="s">
        <v>611</v>
      </c>
      <c r="B480" s="4">
        <v>45858</v>
      </c>
      <c r="C480" s="1" t="s">
        <v>56</v>
      </c>
      <c r="D480" s="1" t="s">
        <v>132</v>
      </c>
      <c r="E480" s="1" t="s">
        <v>145</v>
      </c>
      <c r="F480" s="1" t="s">
        <v>126</v>
      </c>
      <c r="G480" s="1">
        <v>17.2</v>
      </c>
      <c r="H480" s="1">
        <v>28</v>
      </c>
      <c r="I480" s="1">
        <v>4</v>
      </c>
      <c r="J480" s="1">
        <v>81.3</v>
      </c>
      <c r="K480" s="1" t="s">
        <v>120</v>
      </c>
      <c r="L480" s="1" t="s">
        <v>121</v>
      </c>
      <c r="M480" s="1" t="s">
        <v>121</v>
      </c>
    </row>
    <row r="481" spans="1:13" ht="15" customHeight="1">
      <c r="A481" s="1" t="s">
        <v>612</v>
      </c>
      <c r="B481" s="4">
        <v>45867</v>
      </c>
      <c r="C481" s="1" t="s">
        <v>56</v>
      </c>
      <c r="D481" s="1" t="s">
        <v>117</v>
      </c>
      <c r="E481" s="1" t="s">
        <v>123</v>
      </c>
      <c r="F481" s="1" t="s">
        <v>126</v>
      </c>
      <c r="G481" s="1">
        <v>44.7</v>
      </c>
      <c r="H481" s="1">
        <v>17</v>
      </c>
      <c r="I481" s="1">
        <v>5</v>
      </c>
      <c r="J481" s="1">
        <v>82.9</v>
      </c>
      <c r="K481" s="1" t="s">
        <v>120</v>
      </c>
      <c r="L481" s="1" t="s">
        <v>121</v>
      </c>
      <c r="M481" s="1" t="s">
        <v>121</v>
      </c>
    </row>
    <row r="482" spans="1:13" ht="15" customHeight="1">
      <c r="A482" s="1" t="s">
        <v>613</v>
      </c>
      <c r="B482" s="4">
        <v>45833</v>
      </c>
      <c r="C482" s="1" t="s">
        <v>65</v>
      </c>
      <c r="D482" s="1" t="s">
        <v>132</v>
      </c>
      <c r="E482" s="1" t="s">
        <v>134</v>
      </c>
      <c r="F482" s="1" t="s">
        <v>119</v>
      </c>
      <c r="G482" s="1">
        <v>13.4</v>
      </c>
      <c r="H482" s="1">
        <v>21</v>
      </c>
      <c r="I482" s="1">
        <v>4</v>
      </c>
      <c r="J482" s="1">
        <v>81.900000000000006</v>
      </c>
      <c r="K482" s="1" t="s">
        <v>120</v>
      </c>
      <c r="L482" s="1" t="s">
        <v>121</v>
      </c>
      <c r="M482" s="1" t="s">
        <v>138</v>
      </c>
    </row>
    <row r="483" spans="1:13" ht="15" customHeight="1">
      <c r="A483" s="1" t="s">
        <v>614</v>
      </c>
      <c r="B483" s="4">
        <v>46010</v>
      </c>
      <c r="C483" s="1" t="s">
        <v>69</v>
      </c>
      <c r="D483" s="1" t="s">
        <v>117</v>
      </c>
      <c r="E483" s="1" t="s">
        <v>134</v>
      </c>
      <c r="F483" s="1" t="s">
        <v>128</v>
      </c>
      <c r="G483" s="1">
        <v>10.9</v>
      </c>
      <c r="H483" s="1">
        <v>41</v>
      </c>
      <c r="I483" s="1">
        <v>4</v>
      </c>
      <c r="J483" s="1">
        <v>87.6</v>
      </c>
      <c r="K483" s="1" t="s">
        <v>120</v>
      </c>
      <c r="L483" s="1" t="s">
        <v>121</v>
      </c>
      <c r="M483" s="1" t="s">
        <v>121</v>
      </c>
    </row>
    <row r="484" spans="1:13" ht="15" customHeight="1">
      <c r="A484" s="1" t="s">
        <v>615</v>
      </c>
      <c r="B484" s="4">
        <v>45983</v>
      </c>
      <c r="C484" s="1" t="s">
        <v>56</v>
      </c>
      <c r="D484" s="1" t="s">
        <v>117</v>
      </c>
      <c r="E484" s="1" t="s">
        <v>145</v>
      </c>
      <c r="F484" s="1" t="s">
        <v>128</v>
      </c>
      <c r="G484" s="1">
        <v>17.600000000000001</v>
      </c>
      <c r="H484" s="1">
        <v>61</v>
      </c>
      <c r="I484" s="1">
        <v>3</v>
      </c>
      <c r="J484" s="1">
        <v>89.4</v>
      </c>
      <c r="K484" s="1" t="s">
        <v>120</v>
      </c>
      <c r="L484" s="1" t="s">
        <v>121</v>
      </c>
      <c r="M484" s="1" t="s">
        <v>121</v>
      </c>
    </row>
    <row r="485" spans="1:13" ht="15" customHeight="1">
      <c r="A485" s="1" t="s">
        <v>616</v>
      </c>
      <c r="B485" s="4">
        <v>45884</v>
      </c>
      <c r="C485" s="1" t="s">
        <v>67</v>
      </c>
      <c r="D485" s="1" t="s">
        <v>132</v>
      </c>
      <c r="E485" s="1" t="s">
        <v>145</v>
      </c>
      <c r="F485" s="1" t="s">
        <v>126</v>
      </c>
      <c r="G485" s="1">
        <v>52.7</v>
      </c>
      <c r="H485" s="1">
        <v>40</v>
      </c>
      <c r="I485" s="1">
        <v>4</v>
      </c>
      <c r="J485" s="1">
        <v>69.400000000000006</v>
      </c>
      <c r="K485" s="1" t="s">
        <v>120</v>
      </c>
      <c r="L485" s="1" t="s">
        <v>121</v>
      </c>
      <c r="M485" s="1" t="s">
        <v>121</v>
      </c>
    </row>
    <row r="486" spans="1:13" ht="15" customHeight="1">
      <c r="A486" s="1" t="s">
        <v>617</v>
      </c>
      <c r="B486" s="4">
        <v>45849</v>
      </c>
      <c r="C486" s="1" t="s">
        <v>65</v>
      </c>
      <c r="D486" s="1" t="s">
        <v>125</v>
      </c>
      <c r="E486" s="1" t="s">
        <v>118</v>
      </c>
      <c r="F486" s="1" t="s">
        <v>119</v>
      </c>
      <c r="G486" s="1">
        <v>1.3</v>
      </c>
      <c r="H486" s="1">
        <v>37</v>
      </c>
      <c r="I486" s="1">
        <v>4</v>
      </c>
      <c r="J486" s="1">
        <v>85.7</v>
      </c>
      <c r="K486" s="1" t="s">
        <v>120</v>
      </c>
      <c r="L486" s="1" t="s">
        <v>121</v>
      </c>
      <c r="M486" s="1" t="s">
        <v>138</v>
      </c>
    </row>
    <row r="487" spans="1:13" ht="15" customHeight="1">
      <c r="A487" s="1" t="s">
        <v>618</v>
      </c>
      <c r="B487" s="4">
        <v>45950</v>
      </c>
      <c r="C487" s="1" t="s">
        <v>84</v>
      </c>
      <c r="D487" s="1" t="s">
        <v>125</v>
      </c>
      <c r="E487" s="1" t="s">
        <v>123</v>
      </c>
      <c r="F487" s="1" t="s">
        <v>128</v>
      </c>
      <c r="G487" s="1">
        <v>25.1</v>
      </c>
      <c r="H487" s="1">
        <v>60</v>
      </c>
      <c r="I487" s="1">
        <v>3</v>
      </c>
      <c r="J487" s="1">
        <v>82.6</v>
      </c>
      <c r="K487" s="1" t="s">
        <v>120</v>
      </c>
      <c r="L487" s="1" t="s">
        <v>138</v>
      </c>
      <c r="M487" s="1" t="s">
        <v>121</v>
      </c>
    </row>
    <row r="488" spans="1:13" ht="15" customHeight="1">
      <c r="A488" s="1" t="s">
        <v>619</v>
      </c>
      <c r="B488" s="4">
        <v>45794</v>
      </c>
      <c r="C488" s="1" t="s">
        <v>60</v>
      </c>
      <c r="D488" s="1" t="s">
        <v>117</v>
      </c>
      <c r="E488" s="1" t="s">
        <v>123</v>
      </c>
      <c r="F488" s="1" t="s">
        <v>128</v>
      </c>
      <c r="G488" s="1">
        <v>25.9</v>
      </c>
      <c r="H488" s="1">
        <v>1</v>
      </c>
      <c r="I488" s="1">
        <v>3</v>
      </c>
      <c r="J488" s="1">
        <v>74.599999999999994</v>
      </c>
      <c r="K488" s="1" t="s">
        <v>120</v>
      </c>
      <c r="L488" s="1" t="s">
        <v>121</v>
      </c>
      <c r="M488" s="1" t="s">
        <v>121</v>
      </c>
    </row>
    <row r="489" spans="1:13" ht="15" customHeight="1">
      <c r="A489" s="1" t="s">
        <v>620</v>
      </c>
      <c r="B489" s="4">
        <v>45763</v>
      </c>
      <c r="C489" s="1" t="s">
        <v>56</v>
      </c>
      <c r="D489" s="1" t="s">
        <v>132</v>
      </c>
      <c r="E489" s="1" t="s">
        <v>123</v>
      </c>
      <c r="F489" s="1" t="s">
        <v>128</v>
      </c>
      <c r="G489" s="1">
        <v>19</v>
      </c>
      <c r="H489" s="1">
        <v>49</v>
      </c>
      <c r="I489" s="1">
        <v>3</v>
      </c>
      <c r="J489" s="1">
        <v>88</v>
      </c>
      <c r="K489" s="1" t="s">
        <v>120</v>
      </c>
      <c r="L489" s="1" t="s">
        <v>121</v>
      </c>
      <c r="M489" s="1" t="s">
        <v>121</v>
      </c>
    </row>
    <row r="490" spans="1:13" ht="15" customHeight="1">
      <c r="A490" s="1" t="s">
        <v>621</v>
      </c>
      <c r="B490" s="4">
        <v>45828</v>
      </c>
      <c r="C490" s="1" t="s">
        <v>100</v>
      </c>
      <c r="D490" s="1" t="s">
        <v>117</v>
      </c>
      <c r="E490" s="1" t="s">
        <v>123</v>
      </c>
      <c r="F490" s="1" t="s">
        <v>119</v>
      </c>
      <c r="G490" s="1">
        <v>13.6</v>
      </c>
      <c r="H490" s="1">
        <v>48</v>
      </c>
      <c r="I490" s="1">
        <v>4</v>
      </c>
      <c r="J490" s="1">
        <v>99.3</v>
      </c>
      <c r="K490" s="1" t="s">
        <v>120</v>
      </c>
      <c r="L490" s="1" t="s">
        <v>121</v>
      </c>
      <c r="M490" s="1" t="s">
        <v>138</v>
      </c>
    </row>
    <row r="491" spans="1:13" ht="15" customHeight="1">
      <c r="A491" s="1" t="s">
        <v>622</v>
      </c>
      <c r="B491" s="4">
        <v>45851</v>
      </c>
      <c r="C491" s="1" t="s">
        <v>102</v>
      </c>
      <c r="D491" s="1" t="s">
        <v>125</v>
      </c>
      <c r="E491" s="1" t="s">
        <v>147</v>
      </c>
      <c r="F491" s="1" t="s">
        <v>119</v>
      </c>
      <c r="G491" s="1">
        <v>8.4</v>
      </c>
      <c r="H491" s="1">
        <v>43</v>
      </c>
      <c r="I491" s="1">
        <v>4</v>
      </c>
      <c r="J491" s="1">
        <v>86</v>
      </c>
      <c r="K491" s="1" t="s">
        <v>120</v>
      </c>
      <c r="L491" s="1" t="s">
        <v>121</v>
      </c>
      <c r="M491" s="1" t="s">
        <v>138</v>
      </c>
    </row>
    <row r="492" spans="1:13" ht="15" customHeight="1">
      <c r="A492" s="1" t="s">
        <v>623</v>
      </c>
      <c r="B492" s="4">
        <v>45823</v>
      </c>
      <c r="C492" s="1" t="s">
        <v>51</v>
      </c>
      <c r="D492" s="1" t="s">
        <v>125</v>
      </c>
      <c r="E492" s="1" t="s">
        <v>134</v>
      </c>
      <c r="F492" s="1" t="s">
        <v>135</v>
      </c>
      <c r="G492" s="1">
        <v>3.1</v>
      </c>
      <c r="H492" s="1">
        <v>10</v>
      </c>
      <c r="I492" s="1">
        <v>5</v>
      </c>
      <c r="J492" s="1">
        <v>86.9</v>
      </c>
      <c r="K492" s="1" t="s">
        <v>120</v>
      </c>
      <c r="L492" s="1" t="s">
        <v>121</v>
      </c>
      <c r="M492" s="1" t="s">
        <v>121</v>
      </c>
    </row>
    <row r="493" spans="1:13" ht="15" customHeight="1">
      <c r="A493" s="1" t="s">
        <v>624</v>
      </c>
      <c r="B493" s="4">
        <v>45703</v>
      </c>
      <c r="C493" s="1" t="s">
        <v>96</v>
      </c>
      <c r="D493" s="1" t="s">
        <v>117</v>
      </c>
      <c r="E493" s="1" t="s">
        <v>123</v>
      </c>
      <c r="F493" s="1" t="s">
        <v>119</v>
      </c>
      <c r="G493" s="1">
        <v>7.6</v>
      </c>
      <c r="H493" s="1">
        <v>16</v>
      </c>
      <c r="I493" s="1">
        <v>4</v>
      </c>
      <c r="J493" s="1">
        <v>90.6</v>
      </c>
      <c r="K493" s="1" t="s">
        <v>120</v>
      </c>
      <c r="L493" s="1" t="s">
        <v>121</v>
      </c>
      <c r="M493" s="1" t="s">
        <v>138</v>
      </c>
    </row>
    <row r="494" spans="1:13" ht="15" customHeight="1">
      <c r="A494" s="1" t="s">
        <v>625</v>
      </c>
      <c r="B494" s="4">
        <v>45761</v>
      </c>
      <c r="C494" s="1" t="s">
        <v>84</v>
      </c>
      <c r="D494" s="1" t="s">
        <v>117</v>
      </c>
      <c r="E494" s="1" t="s">
        <v>145</v>
      </c>
      <c r="F494" s="1" t="s">
        <v>128</v>
      </c>
      <c r="G494" s="1">
        <v>24</v>
      </c>
      <c r="H494" s="1">
        <v>67</v>
      </c>
      <c r="I494" s="1">
        <v>5</v>
      </c>
      <c r="J494" s="1">
        <v>78.599999999999994</v>
      </c>
      <c r="K494" s="1" t="s">
        <v>120</v>
      </c>
      <c r="L494" s="1" t="s">
        <v>121</v>
      </c>
      <c r="M494" s="1" t="s">
        <v>121</v>
      </c>
    </row>
    <row r="495" spans="1:13" ht="15" customHeight="1">
      <c r="A495" s="1" t="s">
        <v>626</v>
      </c>
      <c r="B495" s="4">
        <v>45943</v>
      </c>
      <c r="C495" s="1" t="s">
        <v>90</v>
      </c>
      <c r="D495" s="1" t="s">
        <v>125</v>
      </c>
      <c r="E495" s="1" t="s">
        <v>130</v>
      </c>
      <c r="F495" s="1" t="s">
        <v>128</v>
      </c>
      <c r="G495" s="1">
        <v>16.2</v>
      </c>
      <c r="H495" s="1">
        <v>36</v>
      </c>
      <c r="I495" s="1">
        <v>4</v>
      </c>
      <c r="J495" s="1">
        <v>96.8</v>
      </c>
      <c r="K495" s="1" t="s">
        <v>120</v>
      </c>
      <c r="L495" s="1" t="s">
        <v>121</v>
      </c>
      <c r="M495" s="1" t="s">
        <v>121</v>
      </c>
    </row>
    <row r="496" spans="1:13" ht="15" customHeight="1">
      <c r="A496" s="1" t="s">
        <v>627</v>
      </c>
      <c r="B496" s="4">
        <v>45808</v>
      </c>
      <c r="C496" s="1" t="s">
        <v>46</v>
      </c>
      <c r="D496" s="1" t="s">
        <v>132</v>
      </c>
      <c r="E496" s="1" t="s">
        <v>130</v>
      </c>
      <c r="F496" s="1" t="s">
        <v>119</v>
      </c>
      <c r="G496" s="1">
        <v>10.7</v>
      </c>
      <c r="H496" s="1">
        <v>1</v>
      </c>
      <c r="I496" s="1">
        <v>4</v>
      </c>
      <c r="J496" s="1">
        <v>77.599999999999994</v>
      </c>
      <c r="K496" s="1" t="s">
        <v>120</v>
      </c>
      <c r="L496" s="1" t="s">
        <v>121</v>
      </c>
      <c r="M496" s="1" t="s">
        <v>138</v>
      </c>
    </row>
    <row r="497" spans="1:13" ht="15" customHeight="1">
      <c r="A497" s="1" t="s">
        <v>628</v>
      </c>
      <c r="B497" s="4">
        <v>45755</v>
      </c>
      <c r="C497" s="1" t="s">
        <v>102</v>
      </c>
      <c r="D497" s="1" t="s">
        <v>125</v>
      </c>
      <c r="E497" s="1" t="s">
        <v>147</v>
      </c>
      <c r="F497" s="1" t="s">
        <v>128</v>
      </c>
      <c r="G497" s="1">
        <v>17.100000000000001</v>
      </c>
      <c r="H497" s="1">
        <v>49</v>
      </c>
      <c r="I497" s="1">
        <v>4</v>
      </c>
      <c r="J497" s="1">
        <v>96</v>
      </c>
      <c r="K497" s="1" t="s">
        <v>120</v>
      </c>
      <c r="L497" s="1" t="s">
        <v>121</v>
      </c>
      <c r="M497" s="1" t="s">
        <v>121</v>
      </c>
    </row>
    <row r="498" spans="1:13" ht="15" customHeight="1">
      <c r="A498" s="1" t="s">
        <v>629</v>
      </c>
      <c r="B498" s="4">
        <v>45665</v>
      </c>
      <c r="C498" s="1" t="s">
        <v>80</v>
      </c>
      <c r="D498" s="1" t="s">
        <v>125</v>
      </c>
      <c r="E498" s="1" t="s">
        <v>130</v>
      </c>
      <c r="F498" s="1" t="s">
        <v>135</v>
      </c>
      <c r="G498" s="1">
        <v>1.6</v>
      </c>
      <c r="H498" s="1">
        <v>4</v>
      </c>
      <c r="I498" s="1">
        <v>5</v>
      </c>
      <c r="J498" s="1">
        <v>78.7</v>
      </c>
      <c r="K498" s="1" t="s">
        <v>120</v>
      </c>
      <c r="L498" s="1" t="s">
        <v>121</v>
      </c>
      <c r="M498" s="1" t="s">
        <v>138</v>
      </c>
    </row>
    <row r="499" spans="1:13" ht="15" customHeight="1">
      <c r="A499" s="1" t="s">
        <v>630</v>
      </c>
      <c r="B499" s="4">
        <v>45876</v>
      </c>
      <c r="C499" s="1" t="s">
        <v>88</v>
      </c>
      <c r="D499" s="1" t="s">
        <v>117</v>
      </c>
      <c r="E499" s="1" t="s">
        <v>118</v>
      </c>
      <c r="F499" s="1" t="s">
        <v>126</v>
      </c>
      <c r="G499" s="1">
        <v>93.7</v>
      </c>
      <c r="H499" s="1">
        <v>41</v>
      </c>
      <c r="I499" s="1">
        <v>4</v>
      </c>
      <c r="J499" s="1">
        <v>98.4</v>
      </c>
      <c r="K499" s="1" t="s">
        <v>120</v>
      </c>
      <c r="L499" s="1" t="s">
        <v>121</v>
      </c>
      <c r="M499" s="1" t="s">
        <v>121</v>
      </c>
    </row>
    <row r="500" spans="1:13" ht="15" customHeight="1">
      <c r="A500" s="1" t="s">
        <v>631</v>
      </c>
      <c r="B500" s="4">
        <v>45696</v>
      </c>
      <c r="C500" s="1" t="s">
        <v>77</v>
      </c>
      <c r="D500" s="1" t="s">
        <v>125</v>
      </c>
      <c r="E500" s="1" t="s">
        <v>118</v>
      </c>
      <c r="F500" s="1" t="s">
        <v>126</v>
      </c>
      <c r="G500" s="1">
        <v>23.5</v>
      </c>
      <c r="H500" s="1">
        <v>34</v>
      </c>
      <c r="I500" s="1">
        <v>5</v>
      </c>
      <c r="J500" s="1">
        <v>75.7</v>
      </c>
      <c r="K500" s="1" t="s">
        <v>120</v>
      </c>
      <c r="L500" s="1" t="s">
        <v>121</v>
      </c>
      <c r="M500" s="1" t="s">
        <v>121</v>
      </c>
    </row>
    <row r="501" spans="1:13" ht="15" customHeight="1">
      <c r="A501" s="1" t="s">
        <v>632</v>
      </c>
      <c r="B501" s="4">
        <v>45730</v>
      </c>
      <c r="C501" s="1" t="s">
        <v>49</v>
      </c>
      <c r="D501" s="1" t="s">
        <v>117</v>
      </c>
      <c r="E501" s="1" t="s">
        <v>145</v>
      </c>
      <c r="F501" s="1" t="s">
        <v>126</v>
      </c>
      <c r="G501" s="1">
        <v>4.8</v>
      </c>
      <c r="H501" s="1">
        <v>45</v>
      </c>
      <c r="I501" s="1">
        <v>5</v>
      </c>
      <c r="J501" s="1">
        <v>87.4</v>
      </c>
      <c r="K501" s="1" t="s">
        <v>120</v>
      </c>
      <c r="L501" s="1" t="s">
        <v>121</v>
      </c>
      <c r="M501" s="1" t="s">
        <v>121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01"/>
  <sheetViews>
    <sheetView showGridLines="0" topLeftCell="H1" workbookViewId="0">
      <selection activeCell="N16" sqref="N16"/>
    </sheetView>
  </sheetViews>
  <sheetFormatPr defaultRowHeight="13.8"/>
  <cols>
    <col min="1" max="1" width="9.296875" customWidth="1"/>
    <col min="2" max="2" width="12.19921875" customWidth="1"/>
    <col min="3" max="3" width="9.19921875" customWidth="1"/>
    <col min="4" max="4" width="8.59765625" customWidth="1"/>
    <col min="5" max="5" width="12.8984375" customWidth="1"/>
    <col min="6" max="6" width="7.8984375" customWidth="1"/>
    <col min="7" max="7" width="15.3984375" customWidth="1"/>
    <col min="8" max="8" width="20.19921875" customWidth="1"/>
    <col min="9" max="9" width="11.69921875" customWidth="1"/>
    <col min="10" max="10" width="9.8984375" customWidth="1"/>
    <col min="11" max="11" width="7.19921875" customWidth="1"/>
    <col min="12" max="12" width="9.8984375" customWidth="1"/>
    <col min="13" max="13" width="9.69921875" customWidth="1"/>
    <col min="14" max="17" width="18" customWidth="1"/>
    <col min="18" max="18" width="16.09765625" customWidth="1"/>
    <col min="19" max="19" width="11" customWidth="1"/>
    <col min="20" max="20" width="15.09765625" customWidth="1"/>
    <col min="21" max="21" width="12.19921875" customWidth="1"/>
    <col min="22" max="22" width="11.296875" customWidth="1"/>
    <col min="23" max="23" width="11.3984375" customWidth="1"/>
    <col min="24" max="24" width="13.19921875" customWidth="1"/>
  </cols>
  <sheetData>
    <row r="1" spans="1:24" ht="31.95" customHeight="1">
      <c r="A1" s="5" t="s">
        <v>634</v>
      </c>
      <c r="B1" s="5" t="s">
        <v>635</v>
      </c>
      <c r="C1" s="5" t="s">
        <v>636</v>
      </c>
      <c r="D1" s="5" t="s">
        <v>637</v>
      </c>
      <c r="E1" s="5" t="s">
        <v>638</v>
      </c>
      <c r="F1" s="5" t="s">
        <v>633</v>
      </c>
      <c r="G1" s="5" t="s">
        <v>639</v>
      </c>
      <c r="H1" s="5" t="s">
        <v>640</v>
      </c>
      <c r="I1" s="5" t="s">
        <v>641</v>
      </c>
      <c r="J1" s="5" t="s">
        <v>642</v>
      </c>
      <c r="K1" s="5" t="s">
        <v>643</v>
      </c>
      <c r="L1" s="5" t="s">
        <v>644</v>
      </c>
      <c r="M1" s="5" t="s">
        <v>645</v>
      </c>
      <c r="N1" s="5" t="s">
        <v>646</v>
      </c>
      <c r="O1" s="5" t="s">
        <v>11</v>
      </c>
      <c r="P1" s="5" t="s">
        <v>647</v>
      </c>
      <c r="Q1" s="5" t="s">
        <v>648</v>
      </c>
      <c r="R1" s="5" t="s">
        <v>649</v>
      </c>
      <c r="S1" s="5" t="s">
        <v>650</v>
      </c>
      <c r="T1" s="5" t="s">
        <v>651</v>
      </c>
      <c r="U1" s="5" t="s">
        <v>652</v>
      </c>
      <c r="V1" s="5" t="s">
        <v>653</v>
      </c>
      <c r="W1" s="5" t="s">
        <v>654</v>
      </c>
      <c r="X1" s="5" t="s">
        <v>655</v>
      </c>
    </row>
    <row r="2" spans="1:24" ht="15" customHeight="1">
      <c r="A2" s="1" t="str">
        <f>'Raw Tickets'!$A$2</f>
        <v>T00001</v>
      </c>
      <c r="B2" s="4">
        <f>'Raw Tickets'!$B$2</f>
        <v>45666</v>
      </c>
      <c r="C2" s="1" t="str">
        <f>'Raw Tickets'!$C$2</f>
        <v>A001</v>
      </c>
      <c r="D2" s="1" t="str">
        <f>'Raw Tickets'!$D$2</f>
        <v>Call</v>
      </c>
      <c r="E2" s="1" t="str">
        <f>'Raw Tickets'!$E$2</f>
        <v>Delivery Delay</v>
      </c>
      <c r="F2" s="1" t="str">
        <f>'Raw Tickets'!$F$2</f>
        <v>High</v>
      </c>
      <c r="G2" s="1">
        <f>'Raw Tickets'!$G$2</f>
        <v>20.399999999999999</v>
      </c>
      <c r="H2" s="1">
        <f>'Raw Tickets'!$H$2</f>
        <v>1</v>
      </c>
      <c r="I2" s="1">
        <f>'Raw Tickets'!$I$2</f>
        <v>2</v>
      </c>
      <c r="J2" s="6">
        <f>'Raw Tickets'!$J$2</f>
        <v>86.1</v>
      </c>
      <c r="K2" s="1" t="str">
        <f>'Raw Tickets'!$K$2</f>
        <v>Closed</v>
      </c>
      <c r="L2" s="1" t="str">
        <f>'Raw Tickets'!$L$2</f>
        <v>No</v>
      </c>
      <c r="M2" s="1" t="str">
        <f>'Raw Tickets'!$M$2</f>
        <v>No</v>
      </c>
      <c r="N2" s="1" t="str">
        <f>IFERROR(VLOOKUP(C2,Agents!$A$2:$E$26,2,FALSE),"")</f>
        <v>Ishita Patel</v>
      </c>
      <c r="O2" s="1" t="str">
        <f>IFERROR(INDEX(Agents!$D$2:$D$26,MATCH(C2,Agents!$A$2:$A$26,0)),"")</f>
        <v>Email Support</v>
      </c>
      <c r="P2" s="1" t="str">
        <f>IFERROR(VLOOKUP(C2,Agents!$A$2:$E$26,3,FALSE),"")</f>
        <v>Aman Verma</v>
      </c>
      <c r="Q2" s="1" t="str">
        <f>IFERROR(VLOOKUP(C2,Agents!$A$2:$E$26,5,FALSE),"")</f>
        <v>Gurugram</v>
      </c>
      <c r="R2" s="1">
        <f>IFERROR(VLOOKUP(F2,#REF!,2,FALSE),0)</f>
        <v>0</v>
      </c>
      <c r="S2" s="1" t="str">
        <f t="shared" ref="S2:S65" si="0">IF(G2&lt;=R2,"Met","Breached")</f>
        <v>Breached</v>
      </c>
      <c r="T2" s="1" t="str">
        <f t="shared" ref="T2:T65" si="1">IF(H2&lt;=30,"Within Target","Late")</f>
        <v>Within Target</v>
      </c>
      <c r="U2" s="1" t="str">
        <f t="shared" ref="U2:U65" si="2">TEXT(B2,"yyyy-mm")</f>
        <v>2025-01</v>
      </c>
      <c r="V2" s="1" t="str">
        <f t="shared" ref="V2:V65" si="3">IF(I2&gt;=4,"Good",IF(I2=3,"Average","Poor"))</f>
        <v>Poor</v>
      </c>
      <c r="W2" s="1" t="str">
        <f t="shared" ref="W2:W65" si="4">IF(J2&gt;=85,"Pass","Needs Coaching")</f>
        <v>Pass</v>
      </c>
      <c r="X2" s="1" t="str">
        <f t="shared" ref="X2:X65" si="5">IF(COUNTIF($A$2:$A$501,A2)&gt;1,"Duplicate","Unique")</f>
        <v>Unique</v>
      </c>
    </row>
    <row r="3" spans="1:24" ht="15" customHeight="1">
      <c r="A3" s="1" t="str">
        <f>'Raw Tickets'!$A$3</f>
        <v>T00002</v>
      </c>
      <c r="B3" s="4">
        <f>'Raw Tickets'!$B$3</f>
        <v>45999</v>
      </c>
      <c r="C3" s="1" t="str">
        <f>'Raw Tickets'!$C$3</f>
        <v>A003</v>
      </c>
      <c r="D3" s="1" t="str">
        <f>'Raw Tickets'!$D$3</f>
        <v>Call</v>
      </c>
      <c r="E3" s="1" t="str">
        <f>'Raw Tickets'!$E$3</f>
        <v>Refund</v>
      </c>
      <c r="F3" s="1" t="str">
        <f>'Raw Tickets'!$F$3</f>
        <v>High</v>
      </c>
      <c r="G3" s="1">
        <f>'Raw Tickets'!$G$3</f>
        <v>2.8</v>
      </c>
      <c r="H3" s="1">
        <f>'Raw Tickets'!$H$3</f>
        <v>36</v>
      </c>
      <c r="I3" s="1">
        <f>'Raw Tickets'!$I$3</f>
        <v>4</v>
      </c>
      <c r="J3" s="6">
        <f>'Raw Tickets'!$J$3</f>
        <v>91.2</v>
      </c>
      <c r="K3" s="1" t="str">
        <f>'Raw Tickets'!$K$3</f>
        <v>Closed</v>
      </c>
      <c r="L3" s="1" t="str">
        <f>'Raw Tickets'!$L$3</f>
        <v>No</v>
      </c>
      <c r="M3" s="1" t="str">
        <f>'Raw Tickets'!$M$3</f>
        <v>No</v>
      </c>
      <c r="N3" s="1" t="str">
        <f>IFERROR(VLOOKUP(C3,Agents!$A$2:$E$26,2,FALSE),"")</f>
        <v>Kabir Verma</v>
      </c>
      <c r="O3" s="1" t="str">
        <f>IFERROR(INDEX(Agents!$D$2:$D$26,MATCH(C3,Agents!$A$2:$A$26,0)),"")</f>
        <v>Email Support</v>
      </c>
      <c r="P3" s="1" t="str">
        <f>IFERROR(VLOOKUP(C3,Agents!$A$2:$E$26,3,FALSE),"")</f>
        <v>Aman Verma</v>
      </c>
      <c r="Q3" s="1" t="str">
        <f>IFERROR(VLOOKUP(C3,Agents!$A$2:$E$26,5,FALSE),"")</f>
        <v>Gurugram</v>
      </c>
      <c r="R3" s="1">
        <f>IFERROR(VLOOKUP(F3,#REF!,2,FALSE),0)</f>
        <v>0</v>
      </c>
      <c r="S3" s="1" t="str">
        <f t="shared" si="0"/>
        <v>Breached</v>
      </c>
      <c r="T3" s="1" t="str">
        <f t="shared" si="1"/>
        <v>Late</v>
      </c>
      <c r="U3" s="1" t="str">
        <f t="shared" si="2"/>
        <v>2025-12</v>
      </c>
      <c r="V3" s="1" t="str">
        <f t="shared" si="3"/>
        <v>Good</v>
      </c>
      <c r="W3" s="1" t="str">
        <f t="shared" si="4"/>
        <v>Pass</v>
      </c>
      <c r="X3" s="1" t="str">
        <f t="shared" si="5"/>
        <v>Unique</v>
      </c>
    </row>
    <row r="4" spans="1:24" ht="15" customHeight="1">
      <c r="A4" s="1" t="str">
        <f>'Raw Tickets'!$A$4</f>
        <v>T00003</v>
      </c>
      <c r="B4" s="4">
        <f>'Raw Tickets'!$B$4</f>
        <v>45734</v>
      </c>
      <c r="C4" s="1" t="str">
        <f>'Raw Tickets'!$C$4</f>
        <v>A009</v>
      </c>
      <c r="D4" s="1" t="str">
        <f>'Raw Tickets'!$D$4</f>
        <v>Chat</v>
      </c>
      <c r="E4" s="1" t="str">
        <f>'Raw Tickets'!$E$4</f>
        <v>Delivery Delay</v>
      </c>
      <c r="F4" s="1" t="str">
        <f>'Raw Tickets'!$F$4</f>
        <v>Low</v>
      </c>
      <c r="G4" s="1">
        <f>'Raw Tickets'!$G$4</f>
        <v>54.6</v>
      </c>
      <c r="H4" s="1">
        <f>'Raw Tickets'!$H$4</f>
        <v>35</v>
      </c>
      <c r="I4" s="1">
        <f>'Raw Tickets'!$I$4</f>
        <v>5</v>
      </c>
      <c r="J4" s="6">
        <f>'Raw Tickets'!$J$4</f>
        <v>78.2</v>
      </c>
      <c r="K4" s="1" t="str">
        <f>'Raw Tickets'!$K$4</f>
        <v>Closed</v>
      </c>
      <c r="L4" s="1" t="str">
        <f>'Raw Tickets'!$L$4</f>
        <v>No</v>
      </c>
      <c r="M4" s="1" t="str">
        <f>'Raw Tickets'!$M$4</f>
        <v>No</v>
      </c>
      <c r="N4" s="1" t="str">
        <f>IFERROR(VLOOKUP(C4,Agents!$A$2:$E$26,2,FALSE),"")</f>
        <v>Divya Mehta</v>
      </c>
      <c r="O4" s="1" t="str">
        <f>IFERROR(INDEX(Agents!$D$2:$D$26,MATCH(C4,Agents!$A$2:$A$26,0)),"")</f>
        <v>Voice Support</v>
      </c>
      <c r="P4" s="1" t="str">
        <f>IFERROR(VLOOKUP(C4,Agents!$A$2:$E$26,3,FALSE),"")</f>
        <v>Kritika Shah</v>
      </c>
      <c r="Q4" s="1" t="str">
        <f>IFERROR(VLOOKUP(C4,Agents!$A$2:$E$26,5,FALSE),"")</f>
        <v>Gurugram</v>
      </c>
      <c r="R4" s="1">
        <f>IFERROR(VLOOKUP(F4,#REF!,2,FALSE),0)</f>
        <v>0</v>
      </c>
      <c r="S4" s="1" t="str">
        <f t="shared" si="0"/>
        <v>Breached</v>
      </c>
      <c r="T4" s="1" t="str">
        <f t="shared" si="1"/>
        <v>Late</v>
      </c>
      <c r="U4" s="1" t="str">
        <f t="shared" si="2"/>
        <v>2025-03</v>
      </c>
      <c r="V4" s="1" t="str">
        <f t="shared" si="3"/>
        <v>Good</v>
      </c>
      <c r="W4" s="1" t="str">
        <f t="shared" si="4"/>
        <v>Needs Coaching</v>
      </c>
      <c r="X4" s="1" t="str">
        <f t="shared" si="5"/>
        <v>Unique</v>
      </c>
    </row>
    <row r="5" spans="1:24" ht="15" customHeight="1">
      <c r="A5" s="1" t="str">
        <f>'Raw Tickets'!$A$5</f>
        <v>T00004</v>
      </c>
      <c r="B5" s="4">
        <f>'Raw Tickets'!$B$5</f>
        <v>45899</v>
      </c>
      <c r="C5" s="1" t="str">
        <f>'Raw Tickets'!$C$5</f>
        <v>A001</v>
      </c>
      <c r="D5" s="1" t="str">
        <f>'Raw Tickets'!$D$5</f>
        <v>Chat</v>
      </c>
      <c r="E5" s="1" t="str">
        <f>'Raw Tickets'!$E$5</f>
        <v>Refund</v>
      </c>
      <c r="F5" s="1" t="str">
        <f>'Raw Tickets'!$F$5</f>
        <v>Medium</v>
      </c>
      <c r="G5" s="1">
        <f>'Raw Tickets'!$G$5</f>
        <v>19.600000000000001</v>
      </c>
      <c r="H5" s="1">
        <f>'Raw Tickets'!$H$5</f>
        <v>34</v>
      </c>
      <c r="I5" s="1">
        <f>'Raw Tickets'!$I$5</f>
        <v>4</v>
      </c>
      <c r="J5" s="6">
        <f>'Raw Tickets'!$J$5</f>
        <v>92.2</v>
      </c>
      <c r="K5" s="1" t="str">
        <f>'Raw Tickets'!$K$5</f>
        <v>Closed</v>
      </c>
      <c r="L5" s="1" t="str">
        <f>'Raw Tickets'!$L$5</f>
        <v>No</v>
      </c>
      <c r="M5" s="1" t="str">
        <f>'Raw Tickets'!$M$5</f>
        <v>No</v>
      </c>
      <c r="N5" s="1" t="str">
        <f>IFERROR(VLOOKUP(C5,Agents!$A$2:$E$26,2,FALSE),"")</f>
        <v>Ishita Patel</v>
      </c>
      <c r="O5" s="1" t="str">
        <f>IFERROR(INDEX(Agents!$D$2:$D$26,MATCH(C5,Agents!$A$2:$A$26,0)),"")</f>
        <v>Email Support</v>
      </c>
      <c r="P5" s="1" t="str">
        <f>IFERROR(VLOOKUP(C5,Agents!$A$2:$E$26,3,FALSE),"")</f>
        <v>Aman Verma</v>
      </c>
      <c r="Q5" s="1" t="str">
        <f>IFERROR(VLOOKUP(C5,Agents!$A$2:$E$26,5,FALSE),"")</f>
        <v>Gurugram</v>
      </c>
      <c r="R5" s="1">
        <f>IFERROR(VLOOKUP(F5,#REF!,2,FALSE),0)</f>
        <v>0</v>
      </c>
      <c r="S5" s="1" t="str">
        <f t="shared" si="0"/>
        <v>Breached</v>
      </c>
      <c r="T5" s="1" t="str">
        <f t="shared" si="1"/>
        <v>Late</v>
      </c>
      <c r="U5" s="1" t="str">
        <f t="shared" si="2"/>
        <v>2025-08</v>
      </c>
      <c r="V5" s="1" t="str">
        <f t="shared" si="3"/>
        <v>Good</v>
      </c>
      <c r="W5" s="1" t="str">
        <f t="shared" si="4"/>
        <v>Pass</v>
      </c>
      <c r="X5" s="1" t="str">
        <f t="shared" si="5"/>
        <v>Unique</v>
      </c>
    </row>
    <row r="6" spans="1:24" ht="15" customHeight="1">
      <c r="A6" s="1" t="str">
        <f>'Raw Tickets'!$A$6</f>
        <v>T00005</v>
      </c>
      <c r="B6" s="4">
        <f>'Raw Tickets'!$B$6</f>
        <v>45662</v>
      </c>
      <c r="C6" s="1" t="str">
        <f>'Raw Tickets'!$C$6</f>
        <v>A016</v>
      </c>
      <c r="D6" s="1" t="str">
        <f>'Raw Tickets'!$D$6</f>
        <v>Chat</v>
      </c>
      <c r="E6" s="1" t="str">
        <f>'Raw Tickets'!$E$6</f>
        <v>Order Cancellation</v>
      </c>
      <c r="F6" s="1" t="str">
        <f>'Raw Tickets'!$F$6</f>
        <v>Low</v>
      </c>
      <c r="G6" s="1">
        <f>'Raw Tickets'!$G$6</f>
        <v>58</v>
      </c>
      <c r="H6" s="1">
        <f>'Raw Tickets'!$H$6</f>
        <v>23</v>
      </c>
      <c r="I6" s="1">
        <f>'Raw Tickets'!$I$6</f>
        <v>3</v>
      </c>
      <c r="J6" s="6">
        <f>'Raw Tickets'!$J$6</f>
        <v>80</v>
      </c>
      <c r="K6" s="1" t="str">
        <f>'Raw Tickets'!$K$6</f>
        <v>Closed</v>
      </c>
      <c r="L6" s="1" t="str">
        <f>'Raw Tickets'!$L$6</f>
        <v>No</v>
      </c>
      <c r="M6" s="1" t="str">
        <f>'Raw Tickets'!$M$6</f>
        <v>No</v>
      </c>
      <c r="N6" s="1" t="str">
        <f>IFERROR(VLOOKUP(C6,Agents!$A$2:$E$26,2,FALSE),"")</f>
        <v>Pooja Bansal</v>
      </c>
      <c r="O6" s="1" t="str">
        <f>IFERROR(INDEX(Agents!$D$2:$D$26,MATCH(C6,Agents!$A$2:$A$26,0)),"")</f>
        <v>Escalations</v>
      </c>
      <c r="P6" s="1" t="str">
        <f>IFERROR(VLOOKUP(C6,Agents!$A$2:$E$26,3,FALSE),"")</f>
        <v>Pallavi Rao</v>
      </c>
      <c r="Q6" s="1" t="str">
        <f>IFERROR(VLOOKUP(C6,Agents!$A$2:$E$26,5,FALSE),"")</f>
        <v>Hyderabad</v>
      </c>
      <c r="R6" s="1">
        <f>IFERROR(VLOOKUP(F6,#REF!,2,FALSE),0)</f>
        <v>0</v>
      </c>
      <c r="S6" s="1" t="str">
        <f t="shared" si="0"/>
        <v>Breached</v>
      </c>
      <c r="T6" s="1" t="str">
        <f t="shared" si="1"/>
        <v>Within Target</v>
      </c>
      <c r="U6" s="1" t="str">
        <f t="shared" si="2"/>
        <v>2025-01</v>
      </c>
      <c r="V6" s="1" t="str">
        <f t="shared" si="3"/>
        <v>Average</v>
      </c>
      <c r="W6" s="1" t="str">
        <f t="shared" si="4"/>
        <v>Needs Coaching</v>
      </c>
      <c r="X6" s="1" t="str">
        <f t="shared" si="5"/>
        <v>Unique</v>
      </c>
    </row>
    <row r="7" spans="1:24" ht="15" customHeight="1">
      <c r="A7" s="1" t="str">
        <f>'Raw Tickets'!$A$7</f>
        <v>T00006</v>
      </c>
      <c r="B7" s="4">
        <f>'Raw Tickets'!$B$7</f>
        <v>45863</v>
      </c>
      <c r="C7" s="1" t="str">
        <f>'Raw Tickets'!$C$7</f>
        <v>A011</v>
      </c>
      <c r="D7" s="1" t="str">
        <f>'Raw Tickets'!$D$7</f>
        <v>Email</v>
      </c>
      <c r="E7" s="1" t="str">
        <f>'Raw Tickets'!$E$7</f>
        <v>Refund</v>
      </c>
      <c r="F7" s="1" t="str">
        <f>'Raw Tickets'!$F$7</f>
        <v>Low</v>
      </c>
      <c r="G7" s="1">
        <f>'Raw Tickets'!$G$7</f>
        <v>5.5</v>
      </c>
      <c r="H7" s="1">
        <f>'Raw Tickets'!$H$7</f>
        <v>47</v>
      </c>
      <c r="I7" s="1">
        <f>'Raw Tickets'!$I$7</f>
        <v>3</v>
      </c>
      <c r="J7" s="6">
        <f>'Raw Tickets'!$J$7</f>
        <v>78.5</v>
      </c>
      <c r="K7" s="1" t="str">
        <f>'Raw Tickets'!$K$7</f>
        <v>Closed</v>
      </c>
      <c r="L7" s="1" t="str">
        <f>'Raw Tickets'!$L$7</f>
        <v>No</v>
      </c>
      <c r="M7" s="1" t="str">
        <f>'Raw Tickets'!$M$7</f>
        <v>No</v>
      </c>
      <c r="N7" s="1" t="str">
        <f>IFERROR(VLOOKUP(C7,Agents!$A$2:$E$26,2,FALSE),"")</f>
        <v>Shreya Singh</v>
      </c>
      <c r="O7" s="1" t="str">
        <f>IFERROR(INDEX(Agents!$D$2:$D$26,MATCH(C7,Agents!$A$2:$A$26,0)),"")</f>
        <v>Chat Support</v>
      </c>
      <c r="P7" s="1" t="str">
        <f>IFERROR(VLOOKUP(C7,Agents!$A$2:$E$26,3,FALSE),"")</f>
        <v>Nitin Gupta</v>
      </c>
      <c r="Q7" s="1" t="str">
        <f>IFERROR(VLOOKUP(C7,Agents!$A$2:$E$26,5,FALSE),"")</f>
        <v>Noida</v>
      </c>
      <c r="R7" s="1">
        <f>IFERROR(VLOOKUP(F7,#REF!,2,FALSE),0)</f>
        <v>0</v>
      </c>
      <c r="S7" s="1" t="str">
        <f t="shared" si="0"/>
        <v>Breached</v>
      </c>
      <c r="T7" s="1" t="str">
        <f t="shared" si="1"/>
        <v>Late</v>
      </c>
      <c r="U7" s="1" t="str">
        <f t="shared" si="2"/>
        <v>2025-07</v>
      </c>
      <c r="V7" s="1" t="str">
        <f t="shared" si="3"/>
        <v>Average</v>
      </c>
      <c r="W7" s="1" t="str">
        <f t="shared" si="4"/>
        <v>Needs Coaching</v>
      </c>
      <c r="X7" s="1" t="str">
        <f t="shared" si="5"/>
        <v>Unique</v>
      </c>
    </row>
    <row r="8" spans="1:24" ht="15" customHeight="1">
      <c r="A8" s="1" t="str">
        <f>'Raw Tickets'!$A$8</f>
        <v>T00007</v>
      </c>
      <c r="B8" s="4">
        <f>'Raw Tickets'!$B$8</f>
        <v>45801</v>
      </c>
      <c r="C8" s="1" t="str">
        <f>'Raw Tickets'!$C$8</f>
        <v>A013</v>
      </c>
      <c r="D8" s="1" t="str">
        <f>'Raw Tickets'!$D$8</f>
        <v>Chat</v>
      </c>
      <c r="E8" s="1" t="str">
        <f>'Raw Tickets'!$E$8</f>
        <v>Account Issue</v>
      </c>
      <c r="F8" s="1" t="str">
        <f>'Raw Tickets'!$F$8</f>
        <v>Critical</v>
      </c>
      <c r="G8" s="1">
        <f>'Raw Tickets'!$G$8</f>
        <v>3.5</v>
      </c>
      <c r="H8" s="1">
        <f>'Raw Tickets'!$H$8</f>
        <v>1</v>
      </c>
      <c r="I8" s="1">
        <f>'Raw Tickets'!$I$8</f>
        <v>5</v>
      </c>
      <c r="J8" s="6">
        <f>'Raw Tickets'!$J$8</f>
        <v>72.8</v>
      </c>
      <c r="K8" s="1" t="str">
        <f>'Raw Tickets'!$K$8</f>
        <v>Closed</v>
      </c>
      <c r="L8" s="1" t="str">
        <f>'Raw Tickets'!$L$8</f>
        <v>No</v>
      </c>
      <c r="M8" s="1" t="str">
        <f>'Raw Tickets'!$M$8</f>
        <v>No</v>
      </c>
      <c r="N8" s="1" t="str">
        <f>IFERROR(VLOOKUP(C8,Agents!$A$2:$E$26,2,FALSE),"")</f>
        <v>Ananya Jain</v>
      </c>
      <c r="O8" s="1" t="str">
        <f>IFERROR(INDEX(Agents!$D$2:$D$26,MATCH(C8,Agents!$A$2:$A$26,0)),"")</f>
        <v>Chat Support</v>
      </c>
      <c r="P8" s="1" t="str">
        <f>IFERROR(VLOOKUP(C8,Agents!$A$2:$E$26,3,FALSE),"")</f>
        <v>Nitin Gupta</v>
      </c>
      <c r="Q8" s="1" t="str">
        <f>IFERROR(VLOOKUP(C8,Agents!$A$2:$E$26,5,FALSE),"")</f>
        <v>Hyderabad</v>
      </c>
      <c r="R8" s="1">
        <f>IFERROR(VLOOKUP(F8,#REF!,2,FALSE),0)</f>
        <v>0</v>
      </c>
      <c r="S8" s="1" t="str">
        <f t="shared" si="0"/>
        <v>Breached</v>
      </c>
      <c r="T8" s="1" t="str">
        <f t="shared" si="1"/>
        <v>Within Target</v>
      </c>
      <c r="U8" s="1" t="str">
        <f t="shared" si="2"/>
        <v>2025-05</v>
      </c>
      <c r="V8" s="1" t="str">
        <f t="shared" si="3"/>
        <v>Good</v>
      </c>
      <c r="W8" s="1" t="str">
        <f t="shared" si="4"/>
        <v>Needs Coaching</v>
      </c>
      <c r="X8" s="1" t="str">
        <f t="shared" si="5"/>
        <v>Unique</v>
      </c>
    </row>
    <row r="9" spans="1:24" ht="15" customHeight="1">
      <c r="A9" s="1" t="str">
        <f>'Raw Tickets'!$A$9</f>
        <v>T00008</v>
      </c>
      <c r="B9" s="4">
        <f>'Raw Tickets'!$B$9</f>
        <v>46019</v>
      </c>
      <c r="C9" s="1" t="str">
        <f>'Raw Tickets'!$C$9</f>
        <v>A007</v>
      </c>
      <c r="D9" s="1" t="str">
        <f>'Raw Tickets'!$D$9</f>
        <v>Chat</v>
      </c>
      <c r="E9" s="1" t="str">
        <f>'Raw Tickets'!$E$9</f>
        <v>Account Issue</v>
      </c>
      <c r="F9" s="1" t="str">
        <f>'Raw Tickets'!$F$9</f>
        <v>Medium</v>
      </c>
      <c r="G9" s="1">
        <f>'Raw Tickets'!$G$9</f>
        <v>22.1</v>
      </c>
      <c r="H9" s="1">
        <f>'Raw Tickets'!$H$9</f>
        <v>51</v>
      </c>
      <c r="I9" s="1">
        <f>'Raw Tickets'!$I$9</f>
        <v>2</v>
      </c>
      <c r="J9" s="6">
        <f>'Raw Tickets'!$J$9</f>
        <v>83.1</v>
      </c>
      <c r="K9" s="1" t="str">
        <f>'Raw Tickets'!$K$9</f>
        <v>Closed</v>
      </c>
      <c r="L9" s="1" t="str">
        <f>'Raw Tickets'!$L$9</f>
        <v>No</v>
      </c>
      <c r="M9" s="1" t="str">
        <f>'Raw Tickets'!$M$9</f>
        <v>No</v>
      </c>
      <c r="N9" s="1" t="str">
        <f>IFERROR(VLOOKUP(C9,Agents!$A$2:$E$26,2,FALSE),"")</f>
        <v>Kavya Patel</v>
      </c>
      <c r="O9" s="1" t="str">
        <f>IFERROR(INDEX(Agents!$D$2:$D$26,MATCH(C9,Agents!$A$2:$A$26,0)),"")</f>
        <v>Voice Support</v>
      </c>
      <c r="P9" s="1" t="str">
        <f>IFERROR(VLOOKUP(C9,Agents!$A$2:$E$26,3,FALSE),"")</f>
        <v>Kritika Shah</v>
      </c>
      <c r="Q9" s="1" t="str">
        <f>IFERROR(VLOOKUP(C9,Agents!$A$2:$E$26,5,FALSE),"")</f>
        <v>Noida</v>
      </c>
      <c r="R9" s="1">
        <f>IFERROR(VLOOKUP(F9,#REF!,2,FALSE),0)</f>
        <v>0</v>
      </c>
      <c r="S9" s="1" t="str">
        <f t="shared" si="0"/>
        <v>Breached</v>
      </c>
      <c r="T9" s="1" t="str">
        <f t="shared" si="1"/>
        <v>Late</v>
      </c>
      <c r="U9" s="1" t="str">
        <f t="shared" si="2"/>
        <v>2025-12</v>
      </c>
      <c r="V9" s="1" t="str">
        <f t="shared" si="3"/>
        <v>Poor</v>
      </c>
      <c r="W9" s="1" t="str">
        <f t="shared" si="4"/>
        <v>Needs Coaching</v>
      </c>
      <c r="X9" s="1" t="str">
        <f t="shared" si="5"/>
        <v>Unique</v>
      </c>
    </row>
    <row r="10" spans="1:24" ht="15" customHeight="1">
      <c r="A10" s="1" t="str">
        <f>'Raw Tickets'!$A$10</f>
        <v>T00009</v>
      </c>
      <c r="B10" s="4">
        <f>'Raw Tickets'!$B$10</f>
        <v>45945</v>
      </c>
      <c r="C10" s="1" t="str">
        <f>'Raw Tickets'!$C$10</f>
        <v>A021</v>
      </c>
      <c r="D10" s="1" t="str">
        <f>'Raw Tickets'!$D$10</f>
        <v>Email</v>
      </c>
      <c r="E10" s="1" t="str">
        <f>'Raw Tickets'!$E$10</f>
        <v>Delivery Delay</v>
      </c>
      <c r="F10" s="1" t="str">
        <f>'Raw Tickets'!$F$10</f>
        <v>Medium</v>
      </c>
      <c r="G10" s="1">
        <f>'Raw Tickets'!$G$10</f>
        <v>8.1</v>
      </c>
      <c r="H10" s="1">
        <f>'Raw Tickets'!$H$10</f>
        <v>27</v>
      </c>
      <c r="I10" s="1">
        <f>'Raw Tickets'!$I$10</f>
        <v>3</v>
      </c>
      <c r="J10" s="6">
        <f>'Raw Tickets'!$J$10</f>
        <v>98.6</v>
      </c>
      <c r="K10" s="1" t="str">
        <f>'Raw Tickets'!$K$10</f>
        <v>Closed</v>
      </c>
      <c r="L10" s="1" t="str">
        <f>'Raw Tickets'!$L$10</f>
        <v>Yes</v>
      </c>
      <c r="M10" s="1" t="str">
        <f>'Raw Tickets'!$M$10</f>
        <v>No</v>
      </c>
      <c r="N10" s="1" t="str">
        <f>IFERROR(VLOOKUP(C10,Agents!$A$2:$E$26,2,FALSE),"")</f>
        <v>Nikhil Bansal</v>
      </c>
      <c r="O10" s="1" t="str">
        <f>IFERROR(INDEX(Agents!$D$2:$D$26,MATCH(C10,Agents!$A$2:$A$26,0)),"")</f>
        <v>Seller Support</v>
      </c>
      <c r="P10" s="1" t="str">
        <f>IFERROR(VLOOKUP(C10,Agents!$A$2:$E$26,3,FALSE),"")</f>
        <v>Vivek Jain</v>
      </c>
      <c r="Q10" s="1" t="str">
        <f>IFERROR(VLOOKUP(C10,Agents!$A$2:$E$26,5,FALSE),"")</f>
        <v>Bengaluru</v>
      </c>
      <c r="R10" s="1">
        <f>IFERROR(VLOOKUP(F10,#REF!,2,FALSE),0)</f>
        <v>0</v>
      </c>
      <c r="S10" s="1" t="str">
        <f t="shared" si="0"/>
        <v>Breached</v>
      </c>
      <c r="T10" s="1" t="str">
        <f t="shared" si="1"/>
        <v>Within Target</v>
      </c>
      <c r="U10" s="1" t="str">
        <f t="shared" si="2"/>
        <v>2025-10</v>
      </c>
      <c r="V10" s="1" t="str">
        <f t="shared" si="3"/>
        <v>Average</v>
      </c>
      <c r="W10" s="1" t="str">
        <f t="shared" si="4"/>
        <v>Pass</v>
      </c>
      <c r="X10" s="1" t="str">
        <f t="shared" si="5"/>
        <v>Unique</v>
      </c>
    </row>
    <row r="11" spans="1:24" ht="15" customHeight="1">
      <c r="A11" s="1" t="str">
        <f>'Raw Tickets'!$A$11</f>
        <v>T00010</v>
      </c>
      <c r="B11" s="4">
        <f>'Raw Tickets'!$B$11</f>
        <v>46005</v>
      </c>
      <c r="C11" s="1" t="str">
        <f>'Raw Tickets'!$C$11</f>
        <v>A020</v>
      </c>
      <c r="D11" s="1" t="str">
        <f>'Raw Tickets'!$D$11</f>
        <v>Chat</v>
      </c>
      <c r="E11" s="1" t="str">
        <f>'Raw Tickets'!$E$11</f>
        <v>Delivery Delay</v>
      </c>
      <c r="F11" s="1" t="str">
        <f>'Raw Tickets'!$F$11</f>
        <v>Medium</v>
      </c>
      <c r="G11" s="1">
        <f>'Raw Tickets'!$G$11</f>
        <v>0.5</v>
      </c>
      <c r="H11" s="1">
        <f>'Raw Tickets'!$H$11</f>
        <v>6</v>
      </c>
      <c r="I11" s="1">
        <f>'Raw Tickets'!$I$11</f>
        <v>2</v>
      </c>
      <c r="J11" s="6">
        <f>'Raw Tickets'!$J$11</f>
        <v>72</v>
      </c>
      <c r="K11" s="1" t="str">
        <f>'Raw Tickets'!$K$11</f>
        <v>Closed</v>
      </c>
      <c r="L11" s="1" t="str">
        <f>'Raw Tickets'!$L$11</f>
        <v>Yes</v>
      </c>
      <c r="M11" s="1" t="str">
        <f>'Raw Tickets'!$M$11</f>
        <v>No</v>
      </c>
      <c r="N11" s="1" t="str">
        <f>IFERROR(VLOOKUP(C11,Agents!$A$2:$E$26,2,FALSE),"")</f>
        <v>Aditi Bansal</v>
      </c>
      <c r="O11" s="1" t="str">
        <f>IFERROR(INDEX(Agents!$D$2:$D$26,MATCH(C11,Agents!$A$2:$A$26,0)),"")</f>
        <v>Escalations</v>
      </c>
      <c r="P11" s="1" t="str">
        <f>IFERROR(VLOOKUP(C11,Agents!$A$2:$E$26,3,FALSE),"")</f>
        <v>Pallavi Rao</v>
      </c>
      <c r="Q11" s="1" t="str">
        <f>IFERROR(VLOOKUP(C11,Agents!$A$2:$E$26,5,FALSE),"")</f>
        <v>Noida</v>
      </c>
      <c r="R11" s="1">
        <f>IFERROR(VLOOKUP(F11,#REF!,2,FALSE),0)</f>
        <v>0</v>
      </c>
      <c r="S11" s="1" t="str">
        <f t="shared" si="0"/>
        <v>Breached</v>
      </c>
      <c r="T11" s="1" t="str">
        <f t="shared" si="1"/>
        <v>Within Target</v>
      </c>
      <c r="U11" s="1" t="str">
        <f t="shared" si="2"/>
        <v>2025-12</v>
      </c>
      <c r="V11" s="1" t="str">
        <f t="shared" si="3"/>
        <v>Poor</v>
      </c>
      <c r="W11" s="1" t="str">
        <f t="shared" si="4"/>
        <v>Needs Coaching</v>
      </c>
      <c r="X11" s="1" t="str">
        <f t="shared" si="5"/>
        <v>Unique</v>
      </c>
    </row>
    <row r="12" spans="1:24" ht="15" customHeight="1">
      <c r="A12" s="1" t="str">
        <f>'Raw Tickets'!$A$12</f>
        <v>T00011</v>
      </c>
      <c r="B12" s="4">
        <f>'Raw Tickets'!$B$12</f>
        <v>45682</v>
      </c>
      <c r="C12" s="1" t="str">
        <f>'Raw Tickets'!$C$12</f>
        <v>A005</v>
      </c>
      <c r="D12" s="1" t="str">
        <f>'Raw Tickets'!$D$12</f>
        <v>Call</v>
      </c>
      <c r="E12" s="1" t="str">
        <f>'Raw Tickets'!$E$12</f>
        <v>Order Cancellation</v>
      </c>
      <c r="F12" s="1" t="str">
        <f>'Raw Tickets'!$F$12</f>
        <v>Medium</v>
      </c>
      <c r="G12" s="1">
        <f>'Raw Tickets'!$G$12</f>
        <v>26.7</v>
      </c>
      <c r="H12" s="1">
        <f>'Raw Tickets'!$H$12</f>
        <v>20</v>
      </c>
      <c r="I12" s="1">
        <f>'Raw Tickets'!$I$12</f>
        <v>5</v>
      </c>
      <c r="J12" s="6">
        <f>'Raw Tickets'!$J$12</f>
        <v>88.4</v>
      </c>
      <c r="K12" s="1" t="str">
        <f>'Raw Tickets'!$K$12</f>
        <v>Closed</v>
      </c>
      <c r="L12" s="1" t="str">
        <f>'Raw Tickets'!$L$12</f>
        <v>No</v>
      </c>
      <c r="M12" s="1" t="str">
        <f>'Raw Tickets'!$M$12</f>
        <v>No</v>
      </c>
      <c r="N12" s="1" t="str">
        <f>IFERROR(VLOOKUP(C12,Agents!$A$2:$E$26,2,FALSE),"")</f>
        <v>Aditi Verma</v>
      </c>
      <c r="O12" s="1" t="str">
        <f>IFERROR(INDEX(Agents!$D$2:$D$26,MATCH(C12,Agents!$A$2:$A$26,0)),"")</f>
        <v>Email Support</v>
      </c>
      <c r="P12" s="1" t="str">
        <f>IFERROR(VLOOKUP(C12,Agents!$A$2:$E$26,3,FALSE),"")</f>
        <v>Aman Verma</v>
      </c>
      <c r="Q12" s="1" t="str">
        <f>IFERROR(VLOOKUP(C12,Agents!$A$2:$E$26,5,FALSE),"")</f>
        <v>Gurugram</v>
      </c>
      <c r="R12" s="1">
        <f>IFERROR(VLOOKUP(F12,#REF!,2,FALSE),0)</f>
        <v>0</v>
      </c>
      <c r="S12" s="1" t="str">
        <f t="shared" si="0"/>
        <v>Breached</v>
      </c>
      <c r="T12" s="1" t="str">
        <f t="shared" si="1"/>
        <v>Within Target</v>
      </c>
      <c r="U12" s="1" t="str">
        <f t="shared" si="2"/>
        <v>2025-01</v>
      </c>
      <c r="V12" s="1" t="str">
        <f t="shared" si="3"/>
        <v>Good</v>
      </c>
      <c r="W12" s="1" t="str">
        <f t="shared" si="4"/>
        <v>Pass</v>
      </c>
      <c r="X12" s="1" t="str">
        <f t="shared" si="5"/>
        <v>Unique</v>
      </c>
    </row>
    <row r="13" spans="1:24" ht="15" customHeight="1">
      <c r="A13" s="1" t="str">
        <f>'Raw Tickets'!$A$13</f>
        <v>T00012</v>
      </c>
      <c r="B13" s="4">
        <f>'Raw Tickets'!$B$13</f>
        <v>45791</v>
      </c>
      <c r="C13" s="1" t="str">
        <f>'Raw Tickets'!$C$13</f>
        <v>A024</v>
      </c>
      <c r="D13" s="1" t="str">
        <f>'Raw Tickets'!$D$13</f>
        <v>Email</v>
      </c>
      <c r="E13" s="1" t="str">
        <f>'Raw Tickets'!$E$13</f>
        <v>Account Issue</v>
      </c>
      <c r="F13" s="1" t="str">
        <f>'Raw Tickets'!$F$13</f>
        <v>High</v>
      </c>
      <c r="G13" s="1">
        <f>'Raw Tickets'!$G$13</f>
        <v>3.4</v>
      </c>
      <c r="H13" s="1">
        <f>'Raw Tickets'!$H$13</f>
        <v>46</v>
      </c>
      <c r="I13" s="1">
        <f>'Raw Tickets'!$I$13</f>
        <v>5</v>
      </c>
      <c r="J13" s="6">
        <f>'Raw Tickets'!$J$13</f>
        <v>81.599999999999994</v>
      </c>
      <c r="K13" s="1" t="str">
        <f>'Raw Tickets'!$K$13</f>
        <v>Closed</v>
      </c>
      <c r="L13" s="1" t="str">
        <f>'Raw Tickets'!$L$13</f>
        <v>No</v>
      </c>
      <c r="M13" s="1" t="str">
        <f>'Raw Tickets'!$M$13</f>
        <v>No</v>
      </c>
      <c r="N13" s="1" t="str">
        <f>IFERROR(VLOOKUP(C13,Agents!$A$2:$E$26,2,FALSE),"")</f>
        <v>Rohan Verma</v>
      </c>
      <c r="O13" s="1" t="str">
        <f>IFERROR(INDEX(Agents!$D$2:$D$26,MATCH(C13,Agents!$A$2:$A$26,0)),"")</f>
        <v>Seller Support</v>
      </c>
      <c r="P13" s="1" t="str">
        <f>IFERROR(VLOOKUP(C13,Agents!$A$2:$E$26,3,FALSE),"")</f>
        <v>Vivek Jain</v>
      </c>
      <c r="Q13" s="1" t="str">
        <f>IFERROR(VLOOKUP(C13,Agents!$A$2:$E$26,5,FALSE),"")</f>
        <v>Noida</v>
      </c>
      <c r="R13" s="1">
        <f>IFERROR(VLOOKUP(F13,#REF!,2,FALSE),0)</f>
        <v>0</v>
      </c>
      <c r="S13" s="1" t="str">
        <f t="shared" si="0"/>
        <v>Breached</v>
      </c>
      <c r="T13" s="1" t="str">
        <f t="shared" si="1"/>
        <v>Late</v>
      </c>
      <c r="U13" s="1" t="str">
        <f t="shared" si="2"/>
        <v>2025-05</v>
      </c>
      <c r="V13" s="1" t="str">
        <f t="shared" si="3"/>
        <v>Good</v>
      </c>
      <c r="W13" s="1" t="str">
        <f t="shared" si="4"/>
        <v>Needs Coaching</v>
      </c>
      <c r="X13" s="1" t="str">
        <f t="shared" si="5"/>
        <v>Unique</v>
      </c>
    </row>
    <row r="14" spans="1:24" ht="15" customHeight="1">
      <c r="A14" s="1" t="str">
        <f>'Raw Tickets'!$A$14</f>
        <v>T00013</v>
      </c>
      <c r="B14" s="4">
        <f>'Raw Tickets'!$B$14</f>
        <v>45694</v>
      </c>
      <c r="C14" s="1" t="str">
        <f>'Raw Tickets'!$C$14</f>
        <v>A013</v>
      </c>
      <c r="D14" s="1" t="str">
        <f>'Raw Tickets'!$D$14</f>
        <v>Chat</v>
      </c>
      <c r="E14" s="1" t="str">
        <f>'Raw Tickets'!$E$14</f>
        <v>Order Cancellation</v>
      </c>
      <c r="F14" s="1" t="str">
        <f>'Raw Tickets'!$F$14</f>
        <v>Low</v>
      </c>
      <c r="G14" s="1">
        <f>'Raw Tickets'!$G$14</f>
        <v>12.6</v>
      </c>
      <c r="H14" s="1">
        <f>'Raw Tickets'!$H$14</f>
        <v>41</v>
      </c>
      <c r="I14" s="1">
        <f>'Raw Tickets'!$I$14</f>
        <v>4</v>
      </c>
      <c r="J14" s="6">
        <f>'Raw Tickets'!$J$14</f>
        <v>86.9</v>
      </c>
      <c r="K14" s="1" t="str">
        <f>'Raw Tickets'!$K$14</f>
        <v>Closed</v>
      </c>
      <c r="L14" s="1" t="str">
        <f>'Raw Tickets'!$L$14</f>
        <v>No</v>
      </c>
      <c r="M14" s="1" t="str">
        <f>'Raw Tickets'!$M$14</f>
        <v>No</v>
      </c>
      <c r="N14" s="1" t="str">
        <f>IFERROR(VLOOKUP(C14,Agents!$A$2:$E$26,2,FALSE),"")</f>
        <v>Ananya Jain</v>
      </c>
      <c r="O14" s="1" t="str">
        <f>IFERROR(INDEX(Agents!$D$2:$D$26,MATCH(C14,Agents!$A$2:$A$26,0)),"")</f>
        <v>Chat Support</v>
      </c>
      <c r="P14" s="1" t="str">
        <f>IFERROR(VLOOKUP(C14,Agents!$A$2:$E$26,3,FALSE),"")</f>
        <v>Nitin Gupta</v>
      </c>
      <c r="Q14" s="1" t="str">
        <f>IFERROR(VLOOKUP(C14,Agents!$A$2:$E$26,5,FALSE),"")</f>
        <v>Hyderabad</v>
      </c>
      <c r="R14" s="1">
        <f>IFERROR(VLOOKUP(F14,#REF!,2,FALSE),0)</f>
        <v>0</v>
      </c>
      <c r="S14" s="1" t="str">
        <f t="shared" si="0"/>
        <v>Breached</v>
      </c>
      <c r="T14" s="1" t="str">
        <f t="shared" si="1"/>
        <v>Late</v>
      </c>
      <c r="U14" s="1" t="str">
        <f t="shared" si="2"/>
        <v>2025-02</v>
      </c>
      <c r="V14" s="1" t="str">
        <f t="shared" si="3"/>
        <v>Good</v>
      </c>
      <c r="W14" s="1" t="str">
        <f t="shared" si="4"/>
        <v>Pass</v>
      </c>
      <c r="X14" s="1" t="str">
        <f t="shared" si="5"/>
        <v>Unique</v>
      </c>
    </row>
    <row r="15" spans="1:24" ht="15" customHeight="1">
      <c r="A15" s="1" t="str">
        <f>'Raw Tickets'!$A$15</f>
        <v>T00014</v>
      </c>
      <c r="B15" s="4">
        <f>'Raw Tickets'!$B$15</f>
        <v>45943</v>
      </c>
      <c r="C15" s="1" t="str">
        <f>'Raw Tickets'!$C$15</f>
        <v>A021</v>
      </c>
      <c r="D15" s="1" t="str">
        <f>'Raw Tickets'!$D$15</f>
        <v>Email</v>
      </c>
      <c r="E15" s="1" t="str">
        <f>'Raw Tickets'!$E$15</f>
        <v>Refund</v>
      </c>
      <c r="F15" s="1" t="str">
        <f>'Raw Tickets'!$F$15</f>
        <v>High</v>
      </c>
      <c r="G15" s="1">
        <f>'Raw Tickets'!$G$15</f>
        <v>5.0999999999999996</v>
      </c>
      <c r="H15" s="1">
        <f>'Raw Tickets'!$H$15</f>
        <v>15</v>
      </c>
      <c r="I15" s="1">
        <f>'Raw Tickets'!$I$15</f>
        <v>5</v>
      </c>
      <c r="J15" s="6">
        <f>'Raw Tickets'!$J$15</f>
        <v>88.1</v>
      </c>
      <c r="K15" s="1" t="str">
        <f>'Raw Tickets'!$K$15</f>
        <v>Closed</v>
      </c>
      <c r="L15" s="1" t="str">
        <f>'Raw Tickets'!$L$15</f>
        <v>No</v>
      </c>
      <c r="M15" s="1" t="str">
        <f>'Raw Tickets'!$M$15</f>
        <v>No</v>
      </c>
      <c r="N15" s="1" t="str">
        <f>IFERROR(VLOOKUP(C15,Agents!$A$2:$E$26,2,FALSE),"")</f>
        <v>Nikhil Bansal</v>
      </c>
      <c r="O15" s="1" t="str">
        <f>IFERROR(INDEX(Agents!$D$2:$D$26,MATCH(C15,Agents!$A$2:$A$26,0)),"")</f>
        <v>Seller Support</v>
      </c>
      <c r="P15" s="1" t="str">
        <f>IFERROR(VLOOKUP(C15,Agents!$A$2:$E$26,3,FALSE),"")</f>
        <v>Vivek Jain</v>
      </c>
      <c r="Q15" s="1" t="str">
        <f>IFERROR(VLOOKUP(C15,Agents!$A$2:$E$26,5,FALSE),"")</f>
        <v>Bengaluru</v>
      </c>
      <c r="R15" s="1">
        <f>IFERROR(VLOOKUP(F15,#REF!,2,FALSE),0)</f>
        <v>0</v>
      </c>
      <c r="S15" s="1" t="str">
        <f t="shared" si="0"/>
        <v>Breached</v>
      </c>
      <c r="T15" s="1" t="str">
        <f t="shared" si="1"/>
        <v>Within Target</v>
      </c>
      <c r="U15" s="1" t="str">
        <f t="shared" si="2"/>
        <v>2025-10</v>
      </c>
      <c r="V15" s="1" t="str">
        <f t="shared" si="3"/>
        <v>Good</v>
      </c>
      <c r="W15" s="1" t="str">
        <f t="shared" si="4"/>
        <v>Pass</v>
      </c>
      <c r="X15" s="1" t="str">
        <f t="shared" si="5"/>
        <v>Unique</v>
      </c>
    </row>
    <row r="16" spans="1:24" ht="15" customHeight="1">
      <c r="A16" s="1" t="str">
        <f>'Raw Tickets'!$A$16</f>
        <v>T00015</v>
      </c>
      <c r="B16" s="4">
        <f>'Raw Tickets'!$B$16</f>
        <v>45915</v>
      </c>
      <c r="C16" s="1" t="str">
        <f>'Raw Tickets'!$C$16</f>
        <v>A015</v>
      </c>
      <c r="D16" s="1" t="str">
        <f>'Raw Tickets'!$D$16</f>
        <v>Email</v>
      </c>
      <c r="E16" s="1" t="str">
        <f>'Raw Tickets'!$E$16</f>
        <v>Payment Failure</v>
      </c>
      <c r="F16" s="1" t="str">
        <f>'Raw Tickets'!$F$16</f>
        <v>Medium</v>
      </c>
      <c r="G16" s="1">
        <f>'Raw Tickets'!$G$16</f>
        <v>21.3</v>
      </c>
      <c r="H16" s="1">
        <f>'Raw Tickets'!$H$16</f>
        <v>26</v>
      </c>
      <c r="I16" s="1">
        <f>'Raw Tickets'!$I$16</f>
        <v>3</v>
      </c>
      <c r="J16" s="6">
        <f>'Raw Tickets'!$J$16</f>
        <v>82.5</v>
      </c>
      <c r="K16" s="1" t="str">
        <f>'Raw Tickets'!$K$16</f>
        <v>Closed</v>
      </c>
      <c r="L16" s="1" t="str">
        <f>'Raw Tickets'!$L$16</f>
        <v>No</v>
      </c>
      <c r="M16" s="1" t="str">
        <f>'Raw Tickets'!$M$16</f>
        <v>No</v>
      </c>
      <c r="N16" s="1" t="str">
        <f>IFERROR(VLOOKUP(C16,Agents!$A$2:$E$26,2,FALSE),"")</f>
        <v>Neha Jain</v>
      </c>
      <c r="O16" s="1" t="str">
        <f>IFERROR(INDEX(Agents!$D$2:$D$26,MATCH(C16,Agents!$A$2:$A$26,0)),"")</f>
        <v>Chat Support</v>
      </c>
      <c r="P16" s="1" t="str">
        <f>IFERROR(VLOOKUP(C16,Agents!$A$2:$E$26,3,FALSE),"")</f>
        <v>Nitin Gupta</v>
      </c>
      <c r="Q16" s="1" t="str">
        <f>IFERROR(VLOOKUP(C16,Agents!$A$2:$E$26,5,FALSE),"")</f>
        <v>Bengaluru</v>
      </c>
      <c r="R16" s="1">
        <f>IFERROR(VLOOKUP(F16,#REF!,2,FALSE),0)</f>
        <v>0</v>
      </c>
      <c r="S16" s="1" t="str">
        <f t="shared" si="0"/>
        <v>Breached</v>
      </c>
      <c r="T16" s="1" t="str">
        <f t="shared" si="1"/>
        <v>Within Target</v>
      </c>
      <c r="U16" s="1" t="str">
        <f t="shared" si="2"/>
        <v>2025-09</v>
      </c>
      <c r="V16" s="1" t="str">
        <f t="shared" si="3"/>
        <v>Average</v>
      </c>
      <c r="W16" s="1" t="str">
        <f t="shared" si="4"/>
        <v>Needs Coaching</v>
      </c>
      <c r="X16" s="1" t="str">
        <f t="shared" si="5"/>
        <v>Unique</v>
      </c>
    </row>
    <row r="17" spans="1:24" ht="15" customHeight="1">
      <c r="A17" s="1" t="str">
        <f>'Raw Tickets'!$A$17</f>
        <v>T00016</v>
      </c>
      <c r="B17" s="4">
        <f>'Raw Tickets'!$B$17</f>
        <v>45910</v>
      </c>
      <c r="C17" s="1" t="str">
        <f>'Raw Tickets'!$C$17</f>
        <v>A010</v>
      </c>
      <c r="D17" s="1" t="str">
        <f>'Raw Tickets'!$D$17</f>
        <v>Chat</v>
      </c>
      <c r="E17" s="1" t="str">
        <f>'Raw Tickets'!$E$17</f>
        <v>Product Quality</v>
      </c>
      <c r="F17" s="1" t="str">
        <f>'Raw Tickets'!$F$17</f>
        <v>Low</v>
      </c>
      <c r="G17" s="1">
        <f>'Raw Tickets'!$G$17</f>
        <v>51.6</v>
      </c>
      <c r="H17" s="1">
        <f>'Raw Tickets'!$H$17</f>
        <v>57</v>
      </c>
      <c r="I17" s="1">
        <f>'Raw Tickets'!$I$17</f>
        <v>5</v>
      </c>
      <c r="J17" s="6">
        <f>'Raw Tickets'!$J$17</f>
        <v>82.8</v>
      </c>
      <c r="K17" s="1" t="str">
        <f>'Raw Tickets'!$K$17</f>
        <v>Closed</v>
      </c>
      <c r="L17" s="1" t="str">
        <f>'Raw Tickets'!$L$17</f>
        <v>No</v>
      </c>
      <c r="M17" s="1" t="str">
        <f>'Raw Tickets'!$M$17</f>
        <v>No</v>
      </c>
      <c r="N17" s="1" t="str">
        <f>IFERROR(VLOOKUP(C17,Agents!$A$2:$E$26,2,FALSE),"")</f>
        <v>Ananya Gupta</v>
      </c>
      <c r="O17" s="1" t="str">
        <f>IFERROR(INDEX(Agents!$D$2:$D$26,MATCH(C17,Agents!$A$2:$A$26,0)),"")</f>
        <v>Voice Support</v>
      </c>
      <c r="P17" s="1" t="str">
        <f>IFERROR(VLOOKUP(C17,Agents!$A$2:$E$26,3,FALSE),"")</f>
        <v>Kritika Shah</v>
      </c>
      <c r="Q17" s="1" t="str">
        <f>IFERROR(VLOOKUP(C17,Agents!$A$2:$E$26,5,FALSE),"")</f>
        <v>Gurugram</v>
      </c>
      <c r="R17" s="1">
        <f>IFERROR(VLOOKUP(F17,#REF!,2,FALSE),0)</f>
        <v>0</v>
      </c>
      <c r="S17" s="1" t="str">
        <f t="shared" si="0"/>
        <v>Breached</v>
      </c>
      <c r="T17" s="1" t="str">
        <f t="shared" si="1"/>
        <v>Late</v>
      </c>
      <c r="U17" s="1" t="str">
        <f t="shared" si="2"/>
        <v>2025-09</v>
      </c>
      <c r="V17" s="1" t="str">
        <f t="shared" si="3"/>
        <v>Good</v>
      </c>
      <c r="W17" s="1" t="str">
        <f t="shared" si="4"/>
        <v>Needs Coaching</v>
      </c>
      <c r="X17" s="1" t="str">
        <f t="shared" si="5"/>
        <v>Unique</v>
      </c>
    </row>
    <row r="18" spans="1:24" ht="15" customHeight="1">
      <c r="A18" s="1" t="str">
        <f>'Raw Tickets'!$A$18</f>
        <v>T00017</v>
      </c>
      <c r="B18" s="4">
        <f>'Raw Tickets'!$B$18</f>
        <v>45879</v>
      </c>
      <c r="C18" s="1" t="str">
        <f>'Raw Tickets'!$C$18</f>
        <v>A013</v>
      </c>
      <c r="D18" s="1" t="str">
        <f>'Raw Tickets'!$D$18</f>
        <v>Call</v>
      </c>
      <c r="E18" s="1" t="str">
        <f>'Raw Tickets'!$E$18</f>
        <v>Product Quality</v>
      </c>
      <c r="F18" s="1" t="str">
        <f>'Raw Tickets'!$F$18</f>
        <v>Medium</v>
      </c>
      <c r="G18" s="1">
        <f>'Raw Tickets'!$G$18</f>
        <v>7.4</v>
      </c>
      <c r="H18" s="1">
        <f>'Raw Tickets'!$H$18</f>
        <v>20</v>
      </c>
      <c r="I18" s="1">
        <f>'Raw Tickets'!$I$18</f>
        <v>5</v>
      </c>
      <c r="J18" s="6">
        <f>'Raw Tickets'!$J$18</f>
        <v>96.3</v>
      </c>
      <c r="K18" s="1" t="str">
        <f>'Raw Tickets'!$K$18</f>
        <v>Closed</v>
      </c>
      <c r="L18" s="1" t="str">
        <f>'Raw Tickets'!$L$18</f>
        <v>No</v>
      </c>
      <c r="M18" s="1" t="str">
        <f>'Raw Tickets'!$M$18</f>
        <v>No</v>
      </c>
      <c r="N18" s="1" t="str">
        <f>IFERROR(VLOOKUP(C18,Agents!$A$2:$E$26,2,FALSE),"")</f>
        <v>Ananya Jain</v>
      </c>
      <c r="O18" s="1" t="str">
        <f>IFERROR(INDEX(Agents!$D$2:$D$26,MATCH(C18,Agents!$A$2:$A$26,0)),"")</f>
        <v>Chat Support</v>
      </c>
      <c r="P18" s="1" t="str">
        <f>IFERROR(VLOOKUP(C18,Agents!$A$2:$E$26,3,FALSE),"")</f>
        <v>Nitin Gupta</v>
      </c>
      <c r="Q18" s="1" t="str">
        <f>IFERROR(VLOOKUP(C18,Agents!$A$2:$E$26,5,FALSE),"")</f>
        <v>Hyderabad</v>
      </c>
      <c r="R18" s="1">
        <f>IFERROR(VLOOKUP(F18,#REF!,2,FALSE),0)</f>
        <v>0</v>
      </c>
      <c r="S18" s="1" t="str">
        <f t="shared" si="0"/>
        <v>Breached</v>
      </c>
      <c r="T18" s="1" t="str">
        <f t="shared" si="1"/>
        <v>Within Target</v>
      </c>
      <c r="U18" s="1" t="str">
        <f t="shared" si="2"/>
        <v>2025-08</v>
      </c>
      <c r="V18" s="1" t="str">
        <f t="shared" si="3"/>
        <v>Good</v>
      </c>
      <c r="W18" s="1" t="str">
        <f t="shared" si="4"/>
        <v>Pass</v>
      </c>
      <c r="X18" s="1" t="str">
        <f t="shared" si="5"/>
        <v>Unique</v>
      </c>
    </row>
    <row r="19" spans="1:24" ht="15" customHeight="1">
      <c r="A19" s="1" t="str">
        <f>'Raw Tickets'!$A$19</f>
        <v>T00018</v>
      </c>
      <c r="B19" s="4">
        <f>'Raw Tickets'!$B$19</f>
        <v>45856</v>
      </c>
      <c r="C19" s="1" t="str">
        <f>'Raw Tickets'!$C$19</f>
        <v>A022</v>
      </c>
      <c r="D19" s="1" t="str">
        <f>'Raw Tickets'!$D$19</f>
        <v>Chat</v>
      </c>
      <c r="E19" s="1" t="str">
        <f>'Raw Tickets'!$E$19</f>
        <v>Delivery Delay</v>
      </c>
      <c r="F19" s="1" t="str">
        <f>'Raw Tickets'!$F$19</f>
        <v>High</v>
      </c>
      <c r="G19" s="1">
        <f>'Raw Tickets'!$G$19</f>
        <v>3</v>
      </c>
      <c r="H19" s="1">
        <f>'Raw Tickets'!$H$19</f>
        <v>1</v>
      </c>
      <c r="I19" s="1">
        <f>'Raw Tickets'!$I$19</f>
        <v>1</v>
      </c>
      <c r="J19" s="6">
        <f>'Raw Tickets'!$J$19</f>
        <v>91.7</v>
      </c>
      <c r="K19" s="1" t="str">
        <f>'Raw Tickets'!$K$19</f>
        <v>Closed</v>
      </c>
      <c r="L19" s="1" t="str">
        <f>'Raw Tickets'!$L$19</f>
        <v>No</v>
      </c>
      <c r="M19" s="1" t="str">
        <f>'Raw Tickets'!$M$19</f>
        <v>No</v>
      </c>
      <c r="N19" s="1" t="str">
        <f>IFERROR(VLOOKUP(C19,Agents!$A$2:$E$26,2,FALSE),"")</f>
        <v>Varun Sharma</v>
      </c>
      <c r="O19" s="1" t="str">
        <f>IFERROR(INDEX(Agents!$D$2:$D$26,MATCH(C19,Agents!$A$2:$A$26,0)),"")</f>
        <v>Seller Support</v>
      </c>
      <c r="P19" s="1" t="str">
        <f>IFERROR(VLOOKUP(C19,Agents!$A$2:$E$26,3,FALSE),"")</f>
        <v>Vivek Jain</v>
      </c>
      <c r="Q19" s="1" t="str">
        <f>IFERROR(VLOOKUP(C19,Agents!$A$2:$E$26,5,FALSE),"")</f>
        <v>Noida</v>
      </c>
      <c r="R19" s="1">
        <f>IFERROR(VLOOKUP(F19,#REF!,2,FALSE),0)</f>
        <v>0</v>
      </c>
      <c r="S19" s="1" t="str">
        <f t="shared" si="0"/>
        <v>Breached</v>
      </c>
      <c r="T19" s="1" t="str">
        <f t="shared" si="1"/>
        <v>Within Target</v>
      </c>
      <c r="U19" s="1" t="str">
        <f t="shared" si="2"/>
        <v>2025-07</v>
      </c>
      <c r="V19" s="1" t="str">
        <f t="shared" si="3"/>
        <v>Poor</v>
      </c>
      <c r="W19" s="1" t="str">
        <f t="shared" si="4"/>
        <v>Pass</v>
      </c>
      <c r="X19" s="1" t="str">
        <f t="shared" si="5"/>
        <v>Unique</v>
      </c>
    </row>
    <row r="20" spans="1:24" ht="15" customHeight="1">
      <c r="A20" s="1" t="str">
        <f>'Raw Tickets'!$A$20</f>
        <v>T00019</v>
      </c>
      <c r="B20" s="4">
        <f>'Raw Tickets'!$B$20</f>
        <v>45953</v>
      </c>
      <c r="C20" s="1" t="str">
        <f>'Raw Tickets'!$C$20</f>
        <v>A005</v>
      </c>
      <c r="D20" s="1" t="str">
        <f>'Raw Tickets'!$D$20</f>
        <v>Call</v>
      </c>
      <c r="E20" s="1" t="str">
        <f>'Raw Tickets'!$E$20</f>
        <v>Delivery Delay</v>
      </c>
      <c r="F20" s="1" t="str">
        <f>'Raw Tickets'!$F$20</f>
        <v>Low</v>
      </c>
      <c r="G20" s="1">
        <f>'Raw Tickets'!$G$20</f>
        <v>11.4</v>
      </c>
      <c r="H20" s="1">
        <f>'Raw Tickets'!$H$20</f>
        <v>80</v>
      </c>
      <c r="I20" s="1">
        <f>'Raw Tickets'!$I$20</f>
        <v>5</v>
      </c>
      <c r="J20" s="6">
        <f>'Raw Tickets'!$J$20</f>
        <v>80</v>
      </c>
      <c r="K20" s="1" t="str">
        <f>'Raw Tickets'!$K$20</f>
        <v>Closed</v>
      </c>
      <c r="L20" s="1" t="str">
        <f>'Raw Tickets'!$L$20</f>
        <v>No</v>
      </c>
      <c r="M20" s="1" t="str">
        <f>'Raw Tickets'!$M$20</f>
        <v>No</v>
      </c>
      <c r="N20" s="1" t="str">
        <f>IFERROR(VLOOKUP(C20,Agents!$A$2:$E$26,2,FALSE),"")</f>
        <v>Aditi Verma</v>
      </c>
      <c r="O20" s="1" t="str">
        <f>IFERROR(INDEX(Agents!$D$2:$D$26,MATCH(C20,Agents!$A$2:$A$26,0)),"")</f>
        <v>Email Support</v>
      </c>
      <c r="P20" s="1" t="str">
        <f>IFERROR(VLOOKUP(C20,Agents!$A$2:$E$26,3,FALSE),"")</f>
        <v>Aman Verma</v>
      </c>
      <c r="Q20" s="1" t="str">
        <f>IFERROR(VLOOKUP(C20,Agents!$A$2:$E$26,5,FALSE),"")</f>
        <v>Gurugram</v>
      </c>
      <c r="R20" s="1">
        <f>IFERROR(VLOOKUP(F20,#REF!,2,FALSE),0)</f>
        <v>0</v>
      </c>
      <c r="S20" s="1" t="str">
        <f t="shared" si="0"/>
        <v>Breached</v>
      </c>
      <c r="T20" s="1" t="str">
        <f t="shared" si="1"/>
        <v>Late</v>
      </c>
      <c r="U20" s="1" t="str">
        <f t="shared" si="2"/>
        <v>2025-10</v>
      </c>
      <c r="V20" s="1" t="str">
        <f t="shared" si="3"/>
        <v>Good</v>
      </c>
      <c r="W20" s="1" t="str">
        <f t="shared" si="4"/>
        <v>Needs Coaching</v>
      </c>
      <c r="X20" s="1" t="str">
        <f t="shared" si="5"/>
        <v>Unique</v>
      </c>
    </row>
    <row r="21" spans="1:24" ht="15" customHeight="1">
      <c r="A21" s="1" t="str">
        <f>'Raw Tickets'!$A$21</f>
        <v>T00020</v>
      </c>
      <c r="B21" s="4">
        <f>'Raw Tickets'!$B$21</f>
        <v>45910</v>
      </c>
      <c r="C21" s="1" t="str">
        <f>'Raw Tickets'!$C$21</f>
        <v>A011</v>
      </c>
      <c r="D21" s="1" t="str">
        <f>'Raw Tickets'!$D$21</f>
        <v>Email</v>
      </c>
      <c r="E21" s="1" t="str">
        <f>'Raw Tickets'!$E$21</f>
        <v>Order Cancellation</v>
      </c>
      <c r="F21" s="1" t="str">
        <f>'Raw Tickets'!$F$21</f>
        <v>Medium</v>
      </c>
      <c r="G21" s="1">
        <f>'Raw Tickets'!$G$21</f>
        <v>7.5</v>
      </c>
      <c r="H21" s="1">
        <f>'Raw Tickets'!$H$21</f>
        <v>14</v>
      </c>
      <c r="I21" s="1">
        <f>'Raw Tickets'!$I$21</f>
        <v>5</v>
      </c>
      <c r="J21" s="6">
        <f>'Raw Tickets'!$J$21</f>
        <v>100</v>
      </c>
      <c r="K21" s="1" t="str">
        <f>'Raw Tickets'!$K$21</f>
        <v>Closed</v>
      </c>
      <c r="L21" s="1" t="str">
        <f>'Raw Tickets'!$L$21</f>
        <v>No</v>
      </c>
      <c r="M21" s="1" t="str">
        <f>'Raw Tickets'!$M$21</f>
        <v>No</v>
      </c>
      <c r="N21" s="1" t="str">
        <f>IFERROR(VLOOKUP(C21,Agents!$A$2:$E$26,2,FALSE),"")</f>
        <v>Shreya Singh</v>
      </c>
      <c r="O21" s="1" t="str">
        <f>IFERROR(INDEX(Agents!$D$2:$D$26,MATCH(C21,Agents!$A$2:$A$26,0)),"")</f>
        <v>Chat Support</v>
      </c>
      <c r="P21" s="1" t="str">
        <f>IFERROR(VLOOKUP(C21,Agents!$A$2:$E$26,3,FALSE),"")</f>
        <v>Nitin Gupta</v>
      </c>
      <c r="Q21" s="1" t="str">
        <f>IFERROR(VLOOKUP(C21,Agents!$A$2:$E$26,5,FALSE),"")</f>
        <v>Noida</v>
      </c>
      <c r="R21" s="1">
        <f>IFERROR(VLOOKUP(F21,#REF!,2,FALSE),0)</f>
        <v>0</v>
      </c>
      <c r="S21" s="1" t="str">
        <f t="shared" si="0"/>
        <v>Breached</v>
      </c>
      <c r="T21" s="1" t="str">
        <f t="shared" si="1"/>
        <v>Within Target</v>
      </c>
      <c r="U21" s="1" t="str">
        <f t="shared" si="2"/>
        <v>2025-09</v>
      </c>
      <c r="V21" s="1" t="str">
        <f t="shared" si="3"/>
        <v>Good</v>
      </c>
      <c r="W21" s="1" t="str">
        <f t="shared" si="4"/>
        <v>Pass</v>
      </c>
      <c r="X21" s="1" t="str">
        <f t="shared" si="5"/>
        <v>Unique</v>
      </c>
    </row>
    <row r="22" spans="1:24" ht="15" customHeight="1">
      <c r="A22" s="1" t="str">
        <f>'Raw Tickets'!$A$22</f>
        <v>T00021</v>
      </c>
      <c r="B22" s="4">
        <f>'Raw Tickets'!$B$22</f>
        <v>45670</v>
      </c>
      <c r="C22" s="1" t="str">
        <f>'Raw Tickets'!$C$22</f>
        <v>A014</v>
      </c>
      <c r="D22" s="1" t="str">
        <f>'Raw Tickets'!$D$22</f>
        <v>Call</v>
      </c>
      <c r="E22" s="1" t="str">
        <f>'Raw Tickets'!$E$22</f>
        <v>Delivery Delay</v>
      </c>
      <c r="F22" s="1" t="str">
        <f>'Raw Tickets'!$F$22</f>
        <v>Medium</v>
      </c>
      <c r="G22" s="1">
        <f>'Raw Tickets'!$G$22</f>
        <v>32</v>
      </c>
      <c r="H22" s="1">
        <f>'Raw Tickets'!$H$22</f>
        <v>53</v>
      </c>
      <c r="I22" s="1">
        <f>'Raw Tickets'!$I$22</f>
        <v>4</v>
      </c>
      <c r="J22" s="6">
        <f>'Raw Tickets'!$J$22</f>
        <v>87.5</v>
      </c>
      <c r="K22" s="1" t="str">
        <f>'Raw Tickets'!$K$22</f>
        <v>Closed</v>
      </c>
      <c r="L22" s="1" t="str">
        <f>'Raw Tickets'!$L$22</f>
        <v>No</v>
      </c>
      <c r="M22" s="1" t="str">
        <f>'Raw Tickets'!$M$22</f>
        <v>No</v>
      </c>
      <c r="N22" s="1" t="str">
        <f>IFERROR(VLOOKUP(C22,Agents!$A$2:$E$26,2,FALSE),"")</f>
        <v>Ananya Jain</v>
      </c>
      <c r="O22" s="1" t="str">
        <f>IFERROR(INDEX(Agents!$D$2:$D$26,MATCH(C22,Agents!$A$2:$A$26,0)),"")</f>
        <v>Chat Support</v>
      </c>
      <c r="P22" s="1" t="str">
        <f>IFERROR(VLOOKUP(C22,Agents!$A$2:$E$26,3,FALSE),"")</f>
        <v>Nitin Gupta</v>
      </c>
      <c r="Q22" s="1" t="str">
        <f>IFERROR(VLOOKUP(C22,Agents!$A$2:$E$26,5,FALSE),"")</f>
        <v>Bengaluru</v>
      </c>
      <c r="R22" s="1">
        <f>IFERROR(VLOOKUP(F22,#REF!,2,FALSE),0)</f>
        <v>0</v>
      </c>
      <c r="S22" s="1" t="str">
        <f t="shared" si="0"/>
        <v>Breached</v>
      </c>
      <c r="T22" s="1" t="str">
        <f t="shared" si="1"/>
        <v>Late</v>
      </c>
      <c r="U22" s="1" t="str">
        <f t="shared" si="2"/>
        <v>2025-01</v>
      </c>
      <c r="V22" s="1" t="str">
        <f t="shared" si="3"/>
        <v>Good</v>
      </c>
      <c r="W22" s="1" t="str">
        <f t="shared" si="4"/>
        <v>Pass</v>
      </c>
      <c r="X22" s="1" t="str">
        <f t="shared" si="5"/>
        <v>Unique</v>
      </c>
    </row>
    <row r="23" spans="1:24" ht="15" customHeight="1">
      <c r="A23" s="1" t="str">
        <f>'Raw Tickets'!$A$23</f>
        <v>T00022</v>
      </c>
      <c r="B23" s="4">
        <f>'Raw Tickets'!$B$23</f>
        <v>45673</v>
      </c>
      <c r="C23" s="1" t="str">
        <f>'Raw Tickets'!$C$23</f>
        <v>A008</v>
      </c>
      <c r="D23" s="1" t="str">
        <f>'Raw Tickets'!$D$23</f>
        <v>Chat</v>
      </c>
      <c r="E23" s="1" t="str">
        <f>'Raw Tickets'!$E$23</f>
        <v>Order Cancellation</v>
      </c>
      <c r="F23" s="1" t="str">
        <f>'Raw Tickets'!$F$23</f>
        <v>Low</v>
      </c>
      <c r="G23" s="1">
        <f>'Raw Tickets'!$G$23</f>
        <v>73.599999999999994</v>
      </c>
      <c r="H23" s="1">
        <f>'Raw Tickets'!$H$23</f>
        <v>25</v>
      </c>
      <c r="I23" s="1">
        <f>'Raw Tickets'!$I$23</f>
        <v>4</v>
      </c>
      <c r="J23" s="6">
        <f>'Raw Tickets'!$J$23</f>
        <v>93</v>
      </c>
      <c r="K23" s="1" t="str">
        <f>'Raw Tickets'!$K$23</f>
        <v>Closed</v>
      </c>
      <c r="L23" s="1" t="str">
        <f>'Raw Tickets'!$L$23</f>
        <v>No</v>
      </c>
      <c r="M23" s="1" t="str">
        <f>'Raw Tickets'!$M$23</f>
        <v>No</v>
      </c>
      <c r="N23" s="1" t="str">
        <f>IFERROR(VLOOKUP(C23,Agents!$A$2:$E$26,2,FALSE),"")</f>
        <v>Ananya Mishra</v>
      </c>
      <c r="O23" s="1" t="str">
        <f>IFERROR(INDEX(Agents!$D$2:$D$26,MATCH(C23,Agents!$A$2:$A$26,0)),"")</f>
        <v>Voice Support</v>
      </c>
      <c r="P23" s="1" t="str">
        <f>IFERROR(VLOOKUP(C23,Agents!$A$2:$E$26,3,FALSE),"")</f>
        <v>Kritika Shah</v>
      </c>
      <c r="Q23" s="1" t="str">
        <f>IFERROR(VLOOKUP(C23,Agents!$A$2:$E$26,5,FALSE),"")</f>
        <v>Hyderabad</v>
      </c>
      <c r="R23" s="1">
        <f>IFERROR(VLOOKUP(F23,#REF!,2,FALSE),0)</f>
        <v>0</v>
      </c>
      <c r="S23" s="1" t="str">
        <f t="shared" si="0"/>
        <v>Breached</v>
      </c>
      <c r="T23" s="1" t="str">
        <f t="shared" si="1"/>
        <v>Within Target</v>
      </c>
      <c r="U23" s="1" t="str">
        <f t="shared" si="2"/>
        <v>2025-01</v>
      </c>
      <c r="V23" s="1" t="str">
        <f t="shared" si="3"/>
        <v>Good</v>
      </c>
      <c r="W23" s="1" t="str">
        <f t="shared" si="4"/>
        <v>Pass</v>
      </c>
      <c r="X23" s="1" t="str">
        <f t="shared" si="5"/>
        <v>Unique</v>
      </c>
    </row>
    <row r="24" spans="1:24" ht="15" customHeight="1">
      <c r="A24" s="1" t="str">
        <f>'Raw Tickets'!$A$24</f>
        <v>T00023</v>
      </c>
      <c r="B24" s="4">
        <f>'Raw Tickets'!$B$24</f>
        <v>45674</v>
      </c>
      <c r="C24" s="1" t="str">
        <f>'Raw Tickets'!$C$24</f>
        <v>A024</v>
      </c>
      <c r="D24" s="1" t="str">
        <f>'Raw Tickets'!$D$24</f>
        <v>Chat</v>
      </c>
      <c r="E24" s="1" t="str">
        <f>'Raw Tickets'!$E$24</f>
        <v>Account Issue</v>
      </c>
      <c r="F24" s="1" t="str">
        <f>'Raw Tickets'!$F$24</f>
        <v>Medium</v>
      </c>
      <c r="G24" s="1">
        <f>'Raw Tickets'!$G$24</f>
        <v>26.9</v>
      </c>
      <c r="H24" s="1">
        <f>'Raw Tickets'!$H$24</f>
        <v>1</v>
      </c>
      <c r="I24" s="1">
        <f>'Raw Tickets'!$I$24</f>
        <v>4</v>
      </c>
      <c r="J24" s="6">
        <f>'Raw Tickets'!$J$24</f>
        <v>85</v>
      </c>
      <c r="K24" s="1" t="str">
        <f>'Raw Tickets'!$K$24</f>
        <v>Closed</v>
      </c>
      <c r="L24" s="1" t="str">
        <f>'Raw Tickets'!$L$24</f>
        <v>No</v>
      </c>
      <c r="M24" s="1" t="str">
        <f>'Raw Tickets'!$M$24</f>
        <v>No</v>
      </c>
      <c r="N24" s="1" t="str">
        <f>IFERROR(VLOOKUP(C24,Agents!$A$2:$E$26,2,FALSE),"")</f>
        <v>Rohan Verma</v>
      </c>
      <c r="O24" s="1" t="str">
        <f>IFERROR(INDEX(Agents!$D$2:$D$26,MATCH(C24,Agents!$A$2:$A$26,0)),"")</f>
        <v>Seller Support</v>
      </c>
      <c r="P24" s="1" t="str">
        <f>IFERROR(VLOOKUP(C24,Agents!$A$2:$E$26,3,FALSE),"")</f>
        <v>Vivek Jain</v>
      </c>
      <c r="Q24" s="1" t="str">
        <f>IFERROR(VLOOKUP(C24,Agents!$A$2:$E$26,5,FALSE),"")</f>
        <v>Noida</v>
      </c>
      <c r="R24" s="1">
        <f>IFERROR(VLOOKUP(F24,#REF!,2,FALSE),0)</f>
        <v>0</v>
      </c>
      <c r="S24" s="1" t="str">
        <f t="shared" si="0"/>
        <v>Breached</v>
      </c>
      <c r="T24" s="1" t="str">
        <f t="shared" si="1"/>
        <v>Within Target</v>
      </c>
      <c r="U24" s="1" t="str">
        <f t="shared" si="2"/>
        <v>2025-01</v>
      </c>
      <c r="V24" s="1" t="str">
        <f t="shared" si="3"/>
        <v>Good</v>
      </c>
      <c r="W24" s="1" t="str">
        <f t="shared" si="4"/>
        <v>Pass</v>
      </c>
      <c r="X24" s="1" t="str">
        <f t="shared" si="5"/>
        <v>Unique</v>
      </c>
    </row>
    <row r="25" spans="1:24" ht="15" customHeight="1">
      <c r="A25" s="1" t="str">
        <f>'Raw Tickets'!$A$25</f>
        <v>T00024</v>
      </c>
      <c r="B25" s="4">
        <f>'Raw Tickets'!$B$25</f>
        <v>45702</v>
      </c>
      <c r="C25" s="1" t="str">
        <f>'Raw Tickets'!$C$25</f>
        <v>A024</v>
      </c>
      <c r="D25" s="1" t="str">
        <f>'Raw Tickets'!$D$25</f>
        <v>Email</v>
      </c>
      <c r="E25" s="1" t="str">
        <f>'Raw Tickets'!$E$25</f>
        <v>Order Cancellation</v>
      </c>
      <c r="F25" s="1" t="str">
        <f>'Raw Tickets'!$F$25</f>
        <v>Medium</v>
      </c>
      <c r="G25" s="1">
        <f>'Raw Tickets'!$G$25</f>
        <v>13</v>
      </c>
      <c r="H25" s="1">
        <f>'Raw Tickets'!$H$25</f>
        <v>25</v>
      </c>
      <c r="I25" s="1">
        <f>'Raw Tickets'!$I$25</f>
        <v>5</v>
      </c>
      <c r="J25" s="6">
        <f>'Raw Tickets'!$J$25</f>
        <v>92.5</v>
      </c>
      <c r="K25" s="1" t="str">
        <f>'Raw Tickets'!$K$25</f>
        <v>Closed</v>
      </c>
      <c r="L25" s="1" t="str">
        <f>'Raw Tickets'!$L$25</f>
        <v>No</v>
      </c>
      <c r="M25" s="1" t="str">
        <f>'Raw Tickets'!$M$25</f>
        <v>No</v>
      </c>
      <c r="N25" s="1" t="str">
        <f>IFERROR(VLOOKUP(C25,Agents!$A$2:$E$26,2,FALSE),"")</f>
        <v>Rohan Verma</v>
      </c>
      <c r="O25" s="1" t="str">
        <f>IFERROR(INDEX(Agents!$D$2:$D$26,MATCH(C25,Agents!$A$2:$A$26,0)),"")</f>
        <v>Seller Support</v>
      </c>
      <c r="P25" s="1" t="str">
        <f>IFERROR(VLOOKUP(C25,Agents!$A$2:$E$26,3,FALSE),"")</f>
        <v>Vivek Jain</v>
      </c>
      <c r="Q25" s="1" t="str">
        <f>IFERROR(VLOOKUP(C25,Agents!$A$2:$E$26,5,FALSE),"")</f>
        <v>Noida</v>
      </c>
      <c r="R25" s="1">
        <f>IFERROR(VLOOKUP(F25,#REF!,2,FALSE),0)</f>
        <v>0</v>
      </c>
      <c r="S25" s="1" t="str">
        <f t="shared" si="0"/>
        <v>Breached</v>
      </c>
      <c r="T25" s="1" t="str">
        <f t="shared" si="1"/>
        <v>Within Target</v>
      </c>
      <c r="U25" s="1" t="str">
        <f t="shared" si="2"/>
        <v>2025-02</v>
      </c>
      <c r="V25" s="1" t="str">
        <f t="shared" si="3"/>
        <v>Good</v>
      </c>
      <c r="W25" s="1" t="str">
        <f t="shared" si="4"/>
        <v>Pass</v>
      </c>
      <c r="X25" s="1" t="str">
        <f t="shared" si="5"/>
        <v>Unique</v>
      </c>
    </row>
    <row r="26" spans="1:24" ht="15" customHeight="1">
      <c r="A26" s="1" t="str">
        <f>'Raw Tickets'!$A$26</f>
        <v>T00025</v>
      </c>
      <c r="B26" s="4">
        <f>'Raw Tickets'!$B$26</f>
        <v>45868</v>
      </c>
      <c r="C26" s="1" t="str">
        <f>'Raw Tickets'!$C$26</f>
        <v>A016</v>
      </c>
      <c r="D26" s="1" t="str">
        <f>'Raw Tickets'!$D$26</f>
        <v>Email</v>
      </c>
      <c r="E26" s="1" t="str">
        <f>'Raw Tickets'!$E$26</f>
        <v>Order Cancellation</v>
      </c>
      <c r="F26" s="1" t="str">
        <f>'Raw Tickets'!$F$26</f>
        <v>Medium</v>
      </c>
      <c r="G26" s="1">
        <f>'Raw Tickets'!$G$26</f>
        <v>25.1</v>
      </c>
      <c r="H26" s="1">
        <f>'Raw Tickets'!$H$26</f>
        <v>44</v>
      </c>
      <c r="I26" s="1">
        <f>'Raw Tickets'!$I$26</f>
        <v>5</v>
      </c>
      <c r="J26" s="6">
        <f>'Raw Tickets'!$J$26</f>
        <v>82.3</v>
      </c>
      <c r="K26" s="1" t="str">
        <f>'Raw Tickets'!$K$26</f>
        <v>Closed</v>
      </c>
      <c r="L26" s="1" t="str">
        <f>'Raw Tickets'!$L$26</f>
        <v>No</v>
      </c>
      <c r="M26" s="1" t="str">
        <f>'Raw Tickets'!$M$26</f>
        <v>No</v>
      </c>
      <c r="N26" s="1" t="str">
        <f>IFERROR(VLOOKUP(C26,Agents!$A$2:$E$26,2,FALSE),"")</f>
        <v>Pooja Bansal</v>
      </c>
      <c r="O26" s="1" t="str">
        <f>IFERROR(INDEX(Agents!$D$2:$D$26,MATCH(C26,Agents!$A$2:$A$26,0)),"")</f>
        <v>Escalations</v>
      </c>
      <c r="P26" s="1" t="str">
        <f>IFERROR(VLOOKUP(C26,Agents!$A$2:$E$26,3,FALSE),"")</f>
        <v>Pallavi Rao</v>
      </c>
      <c r="Q26" s="1" t="str">
        <f>IFERROR(VLOOKUP(C26,Agents!$A$2:$E$26,5,FALSE),"")</f>
        <v>Hyderabad</v>
      </c>
      <c r="R26" s="1">
        <f>IFERROR(VLOOKUP(F26,#REF!,2,FALSE),0)</f>
        <v>0</v>
      </c>
      <c r="S26" s="1" t="str">
        <f t="shared" si="0"/>
        <v>Breached</v>
      </c>
      <c r="T26" s="1" t="str">
        <f t="shared" si="1"/>
        <v>Late</v>
      </c>
      <c r="U26" s="1" t="str">
        <f t="shared" si="2"/>
        <v>2025-07</v>
      </c>
      <c r="V26" s="1" t="str">
        <f t="shared" si="3"/>
        <v>Good</v>
      </c>
      <c r="W26" s="1" t="str">
        <f t="shared" si="4"/>
        <v>Needs Coaching</v>
      </c>
      <c r="X26" s="1" t="str">
        <f t="shared" si="5"/>
        <v>Unique</v>
      </c>
    </row>
    <row r="27" spans="1:24" ht="15" customHeight="1">
      <c r="A27" s="1" t="str">
        <f>'Raw Tickets'!$A$27</f>
        <v>T00026</v>
      </c>
      <c r="B27" s="4">
        <f>'Raw Tickets'!$B$27</f>
        <v>45819</v>
      </c>
      <c r="C27" s="1" t="str">
        <f>'Raw Tickets'!$C$27</f>
        <v>A001</v>
      </c>
      <c r="D27" s="1" t="str">
        <f>'Raw Tickets'!$D$27</f>
        <v>Email</v>
      </c>
      <c r="E27" s="1" t="str">
        <f>'Raw Tickets'!$E$27</f>
        <v>Delivery Delay</v>
      </c>
      <c r="F27" s="1" t="str">
        <f>'Raw Tickets'!$F$27</f>
        <v>Low</v>
      </c>
      <c r="G27" s="1">
        <f>'Raw Tickets'!$G$27</f>
        <v>27.3</v>
      </c>
      <c r="H27" s="1">
        <f>'Raw Tickets'!$H$27</f>
        <v>40</v>
      </c>
      <c r="I27" s="1">
        <f>'Raw Tickets'!$I$27</f>
        <v>5</v>
      </c>
      <c r="J27" s="6">
        <f>'Raw Tickets'!$J$27</f>
        <v>83.7</v>
      </c>
      <c r="K27" s="1" t="str">
        <f>'Raw Tickets'!$K$27</f>
        <v>Closed</v>
      </c>
      <c r="L27" s="1" t="str">
        <f>'Raw Tickets'!$L$27</f>
        <v>No</v>
      </c>
      <c r="M27" s="1" t="str">
        <f>'Raw Tickets'!$M$27</f>
        <v>No</v>
      </c>
      <c r="N27" s="1" t="str">
        <f>IFERROR(VLOOKUP(C27,Agents!$A$2:$E$26,2,FALSE),"")</f>
        <v>Ishita Patel</v>
      </c>
      <c r="O27" s="1" t="str">
        <f>IFERROR(INDEX(Agents!$D$2:$D$26,MATCH(C27,Agents!$A$2:$A$26,0)),"")</f>
        <v>Email Support</v>
      </c>
      <c r="P27" s="1" t="str">
        <f>IFERROR(VLOOKUP(C27,Agents!$A$2:$E$26,3,FALSE),"")</f>
        <v>Aman Verma</v>
      </c>
      <c r="Q27" s="1" t="str">
        <f>IFERROR(VLOOKUP(C27,Agents!$A$2:$E$26,5,FALSE),"")</f>
        <v>Gurugram</v>
      </c>
      <c r="R27" s="1">
        <f>IFERROR(VLOOKUP(F27,#REF!,2,FALSE),0)</f>
        <v>0</v>
      </c>
      <c r="S27" s="1" t="str">
        <f t="shared" si="0"/>
        <v>Breached</v>
      </c>
      <c r="T27" s="1" t="str">
        <f t="shared" si="1"/>
        <v>Late</v>
      </c>
      <c r="U27" s="1" t="str">
        <f t="shared" si="2"/>
        <v>2025-06</v>
      </c>
      <c r="V27" s="1" t="str">
        <f t="shared" si="3"/>
        <v>Good</v>
      </c>
      <c r="W27" s="1" t="str">
        <f t="shared" si="4"/>
        <v>Needs Coaching</v>
      </c>
      <c r="X27" s="1" t="str">
        <f t="shared" si="5"/>
        <v>Unique</v>
      </c>
    </row>
    <row r="28" spans="1:24" ht="15" customHeight="1">
      <c r="A28" s="1" t="str">
        <f>'Raw Tickets'!$A$28</f>
        <v>T00027</v>
      </c>
      <c r="B28" s="4">
        <f>'Raw Tickets'!$B$28</f>
        <v>45763</v>
      </c>
      <c r="C28" s="1" t="str">
        <f>'Raw Tickets'!$C$28</f>
        <v>A021</v>
      </c>
      <c r="D28" s="1" t="str">
        <f>'Raw Tickets'!$D$28</f>
        <v>Email</v>
      </c>
      <c r="E28" s="1" t="str">
        <f>'Raw Tickets'!$E$28</f>
        <v>Product Quality</v>
      </c>
      <c r="F28" s="1" t="str">
        <f>'Raw Tickets'!$F$28</f>
        <v>Medium</v>
      </c>
      <c r="G28" s="1">
        <f>'Raw Tickets'!$G$28</f>
        <v>14.5</v>
      </c>
      <c r="H28" s="1">
        <f>'Raw Tickets'!$H$28</f>
        <v>21</v>
      </c>
      <c r="I28" s="1">
        <f>'Raw Tickets'!$I$28</f>
        <v>3</v>
      </c>
      <c r="J28" s="6">
        <f>'Raw Tickets'!$J$28</f>
        <v>75.8</v>
      </c>
      <c r="K28" s="1" t="str">
        <f>'Raw Tickets'!$K$28</f>
        <v>Open</v>
      </c>
      <c r="L28" s="1" t="str">
        <f>'Raw Tickets'!$L$28</f>
        <v>No</v>
      </c>
      <c r="M28" s="1" t="str">
        <f>'Raw Tickets'!$M$28</f>
        <v>No</v>
      </c>
      <c r="N28" s="1" t="str">
        <f>IFERROR(VLOOKUP(C28,Agents!$A$2:$E$26,2,FALSE),"")</f>
        <v>Nikhil Bansal</v>
      </c>
      <c r="O28" s="1" t="str">
        <f>IFERROR(INDEX(Agents!$D$2:$D$26,MATCH(C28,Agents!$A$2:$A$26,0)),"")</f>
        <v>Seller Support</v>
      </c>
      <c r="P28" s="1" t="str">
        <f>IFERROR(VLOOKUP(C28,Agents!$A$2:$E$26,3,FALSE),"")</f>
        <v>Vivek Jain</v>
      </c>
      <c r="Q28" s="1" t="str">
        <f>IFERROR(VLOOKUP(C28,Agents!$A$2:$E$26,5,FALSE),"")</f>
        <v>Bengaluru</v>
      </c>
      <c r="R28" s="1">
        <f>IFERROR(VLOOKUP(F28,#REF!,2,FALSE),0)</f>
        <v>0</v>
      </c>
      <c r="S28" s="1" t="str">
        <f t="shared" si="0"/>
        <v>Breached</v>
      </c>
      <c r="T28" s="1" t="str">
        <f t="shared" si="1"/>
        <v>Within Target</v>
      </c>
      <c r="U28" s="1" t="str">
        <f t="shared" si="2"/>
        <v>2025-04</v>
      </c>
      <c r="V28" s="1" t="str">
        <f t="shared" si="3"/>
        <v>Average</v>
      </c>
      <c r="W28" s="1" t="str">
        <f t="shared" si="4"/>
        <v>Needs Coaching</v>
      </c>
      <c r="X28" s="1" t="str">
        <f t="shared" si="5"/>
        <v>Unique</v>
      </c>
    </row>
    <row r="29" spans="1:24" ht="15" customHeight="1">
      <c r="A29" s="1" t="str">
        <f>'Raw Tickets'!$A$29</f>
        <v>T00028</v>
      </c>
      <c r="B29" s="4">
        <f>'Raw Tickets'!$B$29</f>
        <v>45962</v>
      </c>
      <c r="C29" s="1" t="str">
        <f>'Raw Tickets'!$C$29</f>
        <v>A006</v>
      </c>
      <c r="D29" s="1" t="str">
        <f>'Raw Tickets'!$D$29</f>
        <v>Call</v>
      </c>
      <c r="E29" s="1" t="str">
        <f>'Raw Tickets'!$E$29</f>
        <v>Payment Failure</v>
      </c>
      <c r="F29" s="1" t="str">
        <f>'Raw Tickets'!$F$29</f>
        <v>Medium</v>
      </c>
      <c r="G29" s="1">
        <f>'Raw Tickets'!$G$29</f>
        <v>9.5</v>
      </c>
      <c r="H29" s="1">
        <f>'Raw Tickets'!$H$29</f>
        <v>46</v>
      </c>
      <c r="I29" s="1">
        <f>'Raw Tickets'!$I$29</f>
        <v>5</v>
      </c>
      <c r="J29" s="6">
        <f>'Raw Tickets'!$J$29</f>
        <v>93.3</v>
      </c>
      <c r="K29" s="1" t="str">
        <f>'Raw Tickets'!$K$29</f>
        <v>Closed</v>
      </c>
      <c r="L29" s="1" t="str">
        <f>'Raw Tickets'!$L$29</f>
        <v>Yes</v>
      </c>
      <c r="M29" s="1" t="str">
        <f>'Raw Tickets'!$M$29</f>
        <v>No</v>
      </c>
      <c r="N29" s="1" t="str">
        <f>IFERROR(VLOOKUP(C29,Agents!$A$2:$E$26,2,FALSE),"")</f>
        <v>Divya Shah</v>
      </c>
      <c r="O29" s="1" t="str">
        <f>IFERROR(INDEX(Agents!$D$2:$D$26,MATCH(C29,Agents!$A$2:$A$26,0)),"")</f>
        <v>Voice Support</v>
      </c>
      <c r="P29" s="1" t="str">
        <f>IFERROR(VLOOKUP(C29,Agents!$A$2:$E$26,3,FALSE),"")</f>
        <v>Kritika Shah</v>
      </c>
      <c r="Q29" s="1" t="str">
        <f>IFERROR(VLOOKUP(C29,Agents!$A$2:$E$26,5,FALSE),"")</f>
        <v>Gurugram</v>
      </c>
      <c r="R29" s="1">
        <f>IFERROR(VLOOKUP(F29,#REF!,2,FALSE),0)</f>
        <v>0</v>
      </c>
      <c r="S29" s="1" t="str">
        <f t="shared" si="0"/>
        <v>Breached</v>
      </c>
      <c r="T29" s="1" t="str">
        <f t="shared" si="1"/>
        <v>Late</v>
      </c>
      <c r="U29" s="1" t="str">
        <f t="shared" si="2"/>
        <v>2025-11</v>
      </c>
      <c r="V29" s="1" t="str">
        <f t="shared" si="3"/>
        <v>Good</v>
      </c>
      <c r="W29" s="1" t="str">
        <f t="shared" si="4"/>
        <v>Pass</v>
      </c>
      <c r="X29" s="1" t="str">
        <f t="shared" si="5"/>
        <v>Unique</v>
      </c>
    </row>
    <row r="30" spans="1:24" ht="15" customHeight="1">
      <c r="A30" s="1" t="str">
        <f>'Raw Tickets'!$A$30</f>
        <v>T00029</v>
      </c>
      <c r="B30" s="4">
        <f>'Raw Tickets'!$B$30</f>
        <v>45909</v>
      </c>
      <c r="C30" s="1" t="str">
        <f>'Raw Tickets'!$C$30</f>
        <v>A005</v>
      </c>
      <c r="D30" s="1" t="str">
        <f>'Raw Tickets'!$D$30</f>
        <v>Email</v>
      </c>
      <c r="E30" s="1" t="str">
        <f>'Raw Tickets'!$E$30</f>
        <v>Product Quality</v>
      </c>
      <c r="F30" s="1" t="str">
        <f>'Raw Tickets'!$F$30</f>
        <v>Low</v>
      </c>
      <c r="G30" s="1">
        <f>'Raw Tickets'!$G$30</f>
        <v>30.1</v>
      </c>
      <c r="H30" s="1">
        <f>'Raw Tickets'!$H$30</f>
        <v>40</v>
      </c>
      <c r="I30" s="1">
        <f>'Raw Tickets'!$I$30</f>
        <v>5</v>
      </c>
      <c r="J30" s="6">
        <f>'Raw Tickets'!$J$30</f>
        <v>82.5</v>
      </c>
      <c r="K30" s="1" t="str">
        <f>'Raw Tickets'!$K$30</f>
        <v>Closed</v>
      </c>
      <c r="L30" s="1" t="str">
        <f>'Raw Tickets'!$L$30</f>
        <v>No</v>
      </c>
      <c r="M30" s="1" t="str">
        <f>'Raw Tickets'!$M$30</f>
        <v>No</v>
      </c>
      <c r="N30" s="1" t="str">
        <f>IFERROR(VLOOKUP(C30,Agents!$A$2:$E$26,2,FALSE),"")</f>
        <v>Aditi Verma</v>
      </c>
      <c r="O30" s="1" t="str">
        <f>IFERROR(INDEX(Agents!$D$2:$D$26,MATCH(C30,Agents!$A$2:$A$26,0)),"")</f>
        <v>Email Support</v>
      </c>
      <c r="P30" s="1" t="str">
        <f>IFERROR(VLOOKUP(C30,Agents!$A$2:$E$26,3,FALSE),"")</f>
        <v>Aman Verma</v>
      </c>
      <c r="Q30" s="1" t="str">
        <f>IFERROR(VLOOKUP(C30,Agents!$A$2:$E$26,5,FALSE),"")</f>
        <v>Gurugram</v>
      </c>
      <c r="R30" s="1">
        <f>IFERROR(VLOOKUP(F30,#REF!,2,FALSE),0)</f>
        <v>0</v>
      </c>
      <c r="S30" s="1" t="str">
        <f t="shared" si="0"/>
        <v>Breached</v>
      </c>
      <c r="T30" s="1" t="str">
        <f t="shared" si="1"/>
        <v>Late</v>
      </c>
      <c r="U30" s="1" t="str">
        <f t="shared" si="2"/>
        <v>2025-09</v>
      </c>
      <c r="V30" s="1" t="str">
        <f t="shared" si="3"/>
        <v>Good</v>
      </c>
      <c r="W30" s="1" t="str">
        <f t="shared" si="4"/>
        <v>Needs Coaching</v>
      </c>
      <c r="X30" s="1" t="str">
        <f t="shared" si="5"/>
        <v>Unique</v>
      </c>
    </row>
    <row r="31" spans="1:24" ht="15" customHeight="1">
      <c r="A31" s="1" t="str">
        <f>'Raw Tickets'!$A$31</f>
        <v>T00030</v>
      </c>
      <c r="B31" s="4">
        <f>'Raw Tickets'!$B$31</f>
        <v>45751</v>
      </c>
      <c r="C31" s="1" t="str">
        <f>'Raw Tickets'!$C$31</f>
        <v>A012</v>
      </c>
      <c r="D31" s="1" t="str">
        <f>'Raw Tickets'!$D$31</f>
        <v>Chat</v>
      </c>
      <c r="E31" s="1" t="str">
        <f>'Raw Tickets'!$E$31</f>
        <v>Payment Failure</v>
      </c>
      <c r="F31" s="1" t="str">
        <f>'Raw Tickets'!$F$31</f>
        <v>Low</v>
      </c>
      <c r="G31" s="1">
        <f>'Raw Tickets'!$G$31</f>
        <v>89.6</v>
      </c>
      <c r="H31" s="1">
        <f>'Raw Tickets'!$H$31</f>
        <v>50</v>
      </c>
      <c r="I31" s="1">
        <f>'Raw Tickets'!$I$31</f>
        <v>4</v>
      </c>
      <c r="J31" s="6">
        <f>'Raw Tickets'!$J$31</f>
        <v>94.8</v>
      </c>
      <c r="K31" s="1" t="str">
        <f>'Raw Tickets'!$K$31</f>
        <v>Open</v>
      </c>
      <c r="L31" s="1" t="str">
        <f>'Raw Tickets'!$L$31</f>
        <v>No</v>
      </c>
      <c r="M31" s="1" t="str">
        <f>'Raw Tickets'!$M$31</f>
        <v>No</v>
      </c>
      <c r="N31" s="1" t="str">
        <f>IFERROR(VLOOKUP(C31,Agents!$A$2:$E$26,2,FALSE),"")</f>
        <v>Ankit Khan</v>
      </c>
      <c r="O31" s="1" t="str">
        <f>IFERROR(INDEX(Agents!$D$2:$D$26,MATCH(C31,Agents!$A$2:$A$26,0)),"")</f>
        <v>Chat Support</v>
      </c>
      <c r="P31" s="1" t="str">
        <f>IFERROR(VLOOKUP(C31,Agents!$A$2:$E$26,3,FALSE),"")</f>
        <v>Nitin Gupta</v>
      </c>
      <c r="Q31" s="1" t="str">
        <f>IFERROR(VLOOKUP(C31,Agents!$A$2:$E$26,5,FALSE),"")</f>
        <v>Bengaluru</v>
      </c>
      <c r="R31" s="1">
        <f>IFERROR(VLOOKUP(F31,#REF!,2,FALSE),0)</f>
        <v>0</v>
      </c>
      <c r="S31" s="1" t="str">
        <f t="shared" si="0"/>
        <v>Breached</v>
      </c>
      <c r="T31" s="1" t="str">
        <f t="shared" si="1"/>
        <v>Late</v>
      </c>
      <c r="U31" s="1" t="str">
        <f t="shared" si="2"/>
        <v>2025-04</v>
      </c>
      <c r="V31" s="1" t="str">
        <f t="shared" si="3"/>
        <v>Good</v>
      </c>
      <c r="W31" s="1" t="str">
        <f t="shared" si="4"/>
        <v>Pass</v>
      </c>
      <c r="X31" s="1" t="str">
        <f t="shared" si="5"/>
        <v>Unique</v>
      </c>
    </row>
    <row r="32" spans="1:24" ht="15" customHeight="1">
      <c r="A32" s="1" t="str">
        <f>'Raw Tickets'!$A$32</f>
        <v>T00031</v>
      </c>
      <c r="B32" s="4">
        <f>'Raw Tickets'!$B$32</f>
        <v>45665</v>
      </c>
      <c r="C32" s="1" t="str">
        <f>'Raw Tickets'!$C$32</f>
        <v>A022</v>
      </c>
      <c r="D32" s="1" t="str">
        <f>'Raw Tickets'!$D$32</f>
        <v>Call</v>
      </c>
      <c r="E32" s="1" t="str">
        <f>'Raw Tickets'!$E$32</f>
        <v>Order Cancellation</v>
      </c>
      <c r="F32" s="1" t="str">
        <f>'Raw Tickets'!$F$32</f>
        <v>Low</v>
      </c>
      <c r="G32" s="1">
        <f>'Raw Tickets'!$G$32</f>
        <v>37.5</v>
      </c>
      <c r="H32" s="1">
        <f>'Raw Tickets'!$H$32</f>
        <v>51</v>
      </c>
      <c r="I32" s="1">
        <f>'Raw Tickets'!$I$32</f>
        <v>5</v>
      </c>
      <c r="J32" s="6">
        <f>'Raw Tickets'!$J$32</f>
        <v>85.8</v>
      </c>
      <c r="K32" s="1" t="str">
        <f>'Raw Tickets'!$K$32</f>
        <v>Closed</v>
      </c>
      <c r="L32" s="1" t="str">
        <f>'Raw Tickets'!$L$32</f>
        <v>No</v>
      </c>
      <c r="M32" s="1" t="str">
        <f>'Raw Tickets'!$M$32</f>
        <v>No</v>
      </c>
      <c r="N32" s="1" t="str">
        <f>IFERROR(VLOOKUP(C32,Agents!$A$2:$E$26,2,FALSE),"")</f>
        <v>Varun Sharma</v>
      </c>
      <c r="O32" s="1" t="str">
        <f>IFERROR(INDEX(Agents!$D$2:$D$26,MATCH(C32,Agents!$A$2:$A$26,0)),"")</f>
        <v>Seller Support</v>
      </c>
      <c r="P32" s="1" t="str">
        <f>IFERROR(VLOOKUP(C32,Agents!$A$2:$E$26,3,FALSE),"")</f>
        <v>Vivek Jain</v>
      </c>
      <c r="Q32" s="1" t="str">
        <f>IFERROR(VLOOKUP(C32,Agents!$A$2:$E$26,5,FALSE),"")</f>
        <v>Noida</v>
      </c>
      <c r="R32" s="1">
        <f>IFERROR(VLOOKUP(F32,#REF!,2,FALSE),0)</f>
        <v>0</v>
      </c>
      <c r="S32" s="1" t="str">
        <f t="shared" si="0"/>
        <v>Breached</v>
      </c>
      <c r="T32" s="1" t="str">
        <f t="shared" si="1"/>
        <v>Late</v>
      </c>
      <c r="U32" s="1" t="str">
        <f t="shared" si="2"/>
        <v>2025-01</v>
      </c>
      <c r="V32" s="1" t="str">
        <f t="shared" si="3"/>
        <v>Good</v>
      </c>
      <c r="W32" s="1" t="str">
        <f t="shared" si="4"/>
        <v>Pass</v>
      </c>
      <c r="X32" s="1" t="str">
        <f t="shared" si="5"/>
        <v>Unique</v>
      </c>
    </row>
    <row r="33" spans="1:24" ht="15" customHeight="1">
      <c r="A33" s="1" t="str">
        <f>'Raw Tickets'!$A$33</f>
        <v>T00032</v>
      </c>
      <c r="B33" s="4">
        <f>'Raw Tickets'!$B$33</f>
        <v>46001</v>
      </c>
      <c r="C33" s="1" t="str">
        <f>'Raw Tickets'!$C$33</f>
        <v>A004</v>
      </c>
      <c r="D33" s="1" t="str">
        <f>'Raw Tickets'!$D$33</f>
        <v>Email</v>
      </c>
      <c r="E33" s="1" t="str">
        <f>'Raw Tickets'!$E$33</f>
        <v>Delivery Delay</v>
      </c>
      <c r="F33" s="1" t="str">
        <f>'Raw Tickets'!$F$33</f>
        <v>Low</v>
      </c>
      <c r="G33" s="1">
        <f>'Raw Tickets'!$G$33</f>
        <v>59</v>
      </c>
      <c r="H33" s="1">
        <f>'Raw Tickets'!$H$33</f>
        <v>29</v>
      </c>
      <c r="I33" s="1">
        <f>'Raw Tickets'!$I$33</f>
        <v>5</v>
      </c>
      <c r="J33" s="6">
        <f>'Raw Tickets'!$J$33</f>
        <v>72.400000000000006</v>
      </c>
      <c r="K33" s="1" t="str">
        <f>'Raw Tickets'!$K$33</f>
        <v>Closed</v>
      </c>
      <c r="L33" s="1" t="str">
        <f>'Raw Tickets'!$L$33</f>
        <v>No</v>
      </c>
      <c r="M33" s="1" t="str">
        <f>'Raw Tickets'!$M$33</f>
        <v>No</v>
      </c>
      <c r="N33" s="1" t="str">
        <f>IFERROR(VLOOKUP(C33,Agents!$A$2:$E$26,2,FALSE),"")</f>
        <v>Arjun Agarwal</v>
      </c>
      <c r="O33" s="1" t="str">
        <f>IFERROR(INDEX(Agents!$D$2:$D$26,MATCH(C33,Agents!$A$2:$A$26,0)),"")</f>
        <v>Email Support</v>
      </c>
      <c r="P33" s="1" t="str">
        <f>IFERROR(VLOOKUP(C33,Agents!$A$2:$E$26,3,FALSE),"")</f>
        <v>Aman Verma</v>
      </c>
      <c r="Q33" s="1" t="str">
        <f>IFERROR(VLOOKUP(C33,Agents!$A$2:$E$26,5,FALSE),"")</f>
        <v>Bengaluru</v>
      </c>
      <c r="R33" s="1">
        <f>IFERROR(VLOOKUP(F33,#REF!,2,FALSE),0)</f>
        <v>0</v>
      </c>
      <c r="S33" s="1" t="str">
        <f t="shared" si="0"/>
        <v>Breached</v>
      </c>
      <c r="T33" s="1" t="str">
        <f t="shared" si="1"/>
        <v>Within Target</v>
      </c>
      <c r="U33" s="1" t="str">
        <f t="shared" si="2"/>
        <v>2025-12</v>
      </c>
      <c r="V33" s="1" t="str">
        <f t="shared" si="3"/>
        <v>Good</v>
      </c>
      <c r="W33" s="1" t="str">
        <f t="shared" si="4"/>
        <v>Needs Coaching</v>
      </c>
      <c r="X33" s="1" t="str">
        <f t="shared" si="5"/>
        <v>Unique</v>
      </c>
    </row>
    <row r="34" spans="1:24" ht="15" customHeight="1">
      <c r="A34" s="1" t="str">
        <f>'Raw Tickets'!$A$34</f>
        <v>T00033</v>
      </c>
      <c r="B34" s="4">
        <f>'Raw Tickets'!$B$34</f>
        <v>45831</v>
      </c>
      <c r="C34" s="1" t="str">
        <f>'Raw Tickets'!$C$34</f>
        <v>A017</v>
      </c>
      <c r="D34" s="1" t="str">
        <f>'Raw Tickets'!$D$34</f>
        <v>Chat</v>
      </c>
      <c r="E34" s="1" t="str">
        <f>'Raw Tickets'!$E$34</f>
        <v>Delivery Delay</v>
      </c>
      <c r="F34" s="1" t="str">
        <f>'Raw Tickets'!$F$34</f>
        <v>High</v>
      </c>
      <c r="G34" s="1">
        <f>'Raw Tickets'!$G$34</f>
        <v>11.3</v>
      </c>
      <c r="H34" s="1">
        <f>'Raw Tickets'!$H$34</f>
        <v>46</v>
      </c>
      <c r="I34" s="1">
        <f>'Raw Tickets'!$I$34</f>
        <v>5</v>
      </c>
      <c r="J34" s="6">
        <f>'Raw Tickets'!$J$34</f>
        <v>94.3</v>
      </c>
      <c r="K34" s="1" t="str">
        <f>'Raw Tickets'!$K$34</f>
        <v>Closed</v>
      </c>
      <c r="L34" s="1" t="str">
        <f>'Raw Tickets'!$L$34</f>
        <v>No</v>
      </c>
      <c r="M34" s="1" t="str">
        <f>'Raw Tickets'!$M$34</f>
        <v>Yes</v>
      </c>
      <c r="N34" s="1" t="str">
        <f>IFERROR(VLOOKUP(C34,Agents!$A$2:$E$26,2,FALSE),"")</f>
        <v>Varun Mehta</v>
      </c>
      <c r="O34" s="1" t="str">
        <f>IFERROR(INDEX(Agents!$D$2:$D$26,MATCH(C34,Agents!$A$2:$A$26,0)),"")</f>
        <v>Escalations</v>
      </c>
      <c r="P34" s="1" t="str">
        <f>IFERROR(VLOOKUP(C34,Agents!$A$2:$E$26,3,FALSE),"")</f>
        <v>Pallavi Rao</v>
      </c>
      <c r="Q34" s="1" t="str">
        <f>IFERROR(VLOOKUP(C34,Agents!$A$2:$E$26,5,FALSE),"")</f>
        <v>Gurugram</v>
      </c>
      <c r="R34" s="1">
        <f>IFERROR(VLOOKUP(F34,#REF!,2,FALSE),0)</f>
        <v>0</v>
      </c>
      <c r="S34" s="1" t="str">
        <f t="shared" si="0"/>
        <v>Breached</v>
      </c>
      <c r="T34" s="1" t="str">
        <f t="shared" si="1"/>
        <v>Late</v>
      </c>
      <c r="U34" s="1" t="str">
        <f t="shared" si="2"/>
        <v>2025-06</v>
      </c>
      <c r="V34" s="1" t="str">
        <f t="shared" si="3"/>
        <v>Good</v>
      </c>
      <c r="W34" s="1" t="str">
        <f t="shared" si="4"/>
        <v>Pass</v>
      </c>
      <c r="X34" s="1" t="str">
        <f t="shared" si="5"/>
        <v>Unique</v>
      </c>
    </row>
    <row r="35" spans="1:24" ht="15" customHeight="1">
      <c r="A35" s="1" t="str">
        <f>'Raw Tickets'!$A$35</f>
        <v>T00034</v>
      </c>
      <c r="B35" s="4">
        <f>'Raw Tickets'!$B$35</f>
        <v>45728</v>
      </c>
      <c r="C35" s="1" t="str">
        <f>'Raw Tickets'!$C$35</f>
        <v>A003</v>
      </c>
      <c r="D35" s="1" t="str">
        <f>'Raw Tickets'!$D$35</f>
        <v>Chat</v>
      </c>
      <c r="E35" s="1" t="str">
        <f>'Raw Tickets'!$E$35</f>
        <v>Payment Failure</v>
      </c>
      <c r="F35" s="1" t="str">
        <f>'Raw Tickets'!$F$35</f>
        <v>Low</v>
      </c>
      <c r="G35" s="1">
        <f>'Raw Tickets'!$G$35</f>
        <v>24.1</v>
      </c>
      <c r="H35" s="1">
        <f>'Raw Tickets'!$H$35</f>
        <v>49</v>
      </c>
      <c r="I35" s="1">
        <f>'Raw Tickets'!$I$35</f>
        <v>3</v>
      </c>
      <c r="J35" s="6">
        <f>'Raw Tickets'!$J$35</f>
        <v>90.1</v>
      </c>
      <c r="K35" s="1" t="str">
        <f>'Raw Tickets'!$K$35</f>
        <v>Closed</v>
      </c>
      <c r="L35" s="1" t="str">
        <f>'Raw Tickets'!$L$35</f>
        <v>No</v>
      </c>
      <c r="M35" s="1" t="str">
        <f>'Raw Tickets'!$M$35</f>
        <v>No</v>
      </c>
      <c r="N35" s="1" t="str">
        <f>IFERROR(VLOOKUP(C35,Agents!$A$2:$E$26,2,FALSE),"")</f>
        <v>Kabir Verma</v>
      </c>
      <c r="O35" s="1" t="str">
        <f>IFERROR(INDEX(Agents!$D$2:$D$26,MATCH(C35,Agents!$A$2:$A$26,0)),"")</f>
        <v>Email Support</v>
      </c>
      <c r="P35" s="1" t="str">
        <f>IFERROR(VLOOKUP(C35,Agents!$A$2:$E$26,3,FALSE),"")</f>
        <v>Aman Verma</v>
      </c>
      <c r="Q35" s="1" t="str">
        <f>IFERROR(VLOOKUP(C35,Agents!$A$2:$E$26,5,FALSE),"")</f>
        <v>Gurugram</v>
      </c>
      <c r="R35" s="1">
        <f>IFERROR(VLOOKUP(F35,#REF!,2,FALSE),0)</f>
        <v>0</v>
      </c>
      <c r="S35" s="1" t="str">
        <f t="shared" si="0"/>
        <v>Breached</v>
      </c>
      <c r="T35" s="1" t="str">
        <f t="shared" si="1"/>
        <v>Late</v>
      </c>
      <c r="U35" s="1" t="str">
        <f t="shared" si="2"/>
        <v>2025-03</v>
      </c>
      <c r="V35" s="1" t="str">
        <f t="shared" si="3"/>
        <v>Average</v>
      </c>
      <c r="W35" s="1" t="str">
        <f t="shared" si="4"/>
        <v>Pass</v>
      </c>
      <c r="X35" s="1" t="str">
        <f t="shared" si="5"/>
        <v>Unique</v>
      </c>
    </row>
    <row r="36" spans="1:24" ht="15" customHeight="1">
      <c r="A36" s="1" t="str">
        <f>'Raw Tickets'!$A$36</f>
        <v>T00035</v>
      </c>
      <c r="B36" s="4">
        <f>'Raw Tickets'!$B$36</f>
        <v>45966</v>
      </c>
      <c r="C36" s="1" t="str">
        <f>'Raw Tickets'!$C$36</f>
        <v>A014</v>
      </c>
      <c r="D36" s="1" t="str">
        <f>'Raw Tickets'!$D$36</f>
        <v>Call</v>
      </c>
      <c r="E36" s="1" t="str">
        <f>'Raw Tickets'!$E$36</f>
        <v>Delivery Delay</v>
      </c>
      <c r="F36" s="1" t="str">
        <f>'Raw Tickets'!$F$36</f>
        <v>High</v>
      </c>
      <c r="G36" s="1">
        <f>'Raw Tickets'!$G$36</f>
        <v>11.1</v>
      </c>
      <c r="H36" s="1">
        <f>'Raw Tickets'!$H$36</f>
        <v>50</v>
      </c>
      <c r="I36" s="1">
        <f>'Raw Tickets'!$I$36</f>
        <v>5</v>
      </c>
      <c r="J36" s="6">
        <f>'Raw Tickets'!$J$36</f>
        <v>75.900000000000006</v>
      </c>
      <c r="K36" s="1" t="str">
        <f>'Raw Tickets'!$K$36</f>
        <v>Closed</v>
      </c>
      <c r="L36" s="1" t="str">
        <f>'Raw Tickets'!$L$36</f>
        <v>Yes</v>
      </c>
      <c r="M36" s="1" t="str">
        <f>'Raw Tickets'!$M$36</f>
        <v>Yes</v>
      </c>
      <c r="N36" s="1" t="str">
        <f>IFERROR(VLOOKUP(C36,Agents!$A$2:$E$26,2,FALSE),"")</f>
        <v>Ananya Jain</v>
      </c>
      <c r="O36" s="1" t="str">
        <f>IFERROR(INDEX(Agents!$D$2:$D$26,MATCH(C36,Agents!$A$2:$A$26,0)),"")</f>
        <v>Chat Support</v>
      </c>
      <c r="P36" s="1" t="str">
        <f>IFERROR(VLOOKUP(C36,Agents!$A$2:$E$26,3,FALSE),"")</f>
        <v>Nitin Gupta</v>
      </c>
      <c r="Q36" s="1" t="str">
        <f>IFERROR(VLOOKUP(C36,Agents!$A$2:$E$26,5,FALSE),"")</f>
        <v>Bengaluru</v>
      </c>
      <c r="R36" s="1">
        <f>IFERROR(VLOOKUP(F36,#REF!,2,FALSE),0)</f>
        <v>0</v>
      </c>
      <c r="S36" s="1" t="str">
        <f t="shared" si="0"/>
        <v>Breached</v>
      </c>
      <c r="T36" s="1" t="str">
        <f t="shared" si="1"/>
        <v>Late</v>
      </c>
      <c r="U36" s="1" t="str">
        <f t="shared" si="2"/>
        <v>2025-11</v>
      </c>
      <c r="V36" s="1" t="str">
        <f t="shared" si="3"/>
        <v>Good</v>
      </c>
      <c r="W36" s="1" t="str">
        <f t="shared" si="4"/>
        <v>Needs Coaching</v>
      </c>
      <c r="X36" s="1" t="str">
        <f t="shared" si="5"/>
        <v>Unique</v>
      </c>
    </row>
    <row r="37" spans="1:24" ht="15" customHeight="1">
      <c r="A37" s="1" t="str">
        <f>'Raw Tickets'!$A$37</f>
        <v>T00036</v>
      </c>
      <c r="B37" s="4">
        <f>'Raw Tickets'!$B$37</f>
        <v>45939</v>
      </c>
      <c r="C37" s="1" t="str">
        <f>'Raw Tickets'!$C$37</f>
        <v>A005</v>
      </c>
      <c r="D37" s="1" t="str">
        <f>'Raw Tickets'!$D$37</f>
        <v>Call</v>
      </c>
      <c r="E37" s="1" t="str">
        <f>'Raw Tickets'!$E$37</f>
        <v>Payment Failure</v>
      </c>
      <c r="F37" s="1" t="str">
        <f>'Raw Tickets'!$F$37</f>
        <v>Low</v>
      </c>
      <c r="G37" s="1">
        <f>'Raw Tickets'!$G$37</f>
        <v>59.6</v>
      </c>
      <c r="H37" s="1">
        <f>'Raw Tickets'!$H$37</f>
        <v>61</v>
      </c>
      <c r="I37" s="1">
        <f>'Raw Tickets'!$I$37</f>
        <v>4</v>
      </c>
      <c r="J37" s="6">
        <f>'Raw Tickets'!$J$37</f>
        <v>75.8</v>
      </c>
      <c r="K37" s="1" t="str">
        <f>'Raw Tickets'!$K$37</f>
        <v>Closed</v>
      </c>
      <c r="L37" s="1" t="str">
        <f>'Raw Tickets'!$L$37</f>
        <v>No</v>
      </c>
      <c r="M37" s="1" t="str">
        <f>'Raw Tickets'!$M$37</f>
        <v>No</v>
      </c>
      <c r="N37" s="1" t="str">
        <f>IFERROR(VLOOKUP(C37,Agents!$A$2:$E$26,2,FALSE),"")</f>
        <v>Aditi Verma</v>
      </c>
      <c r="O37" s="1" t="str">
        <f>IFERROR(INDEX(Agents!$D$2:$D$26,MATCH(C37,Agents!$A$2:$A$26,0)),"")</f>
        <v>Email Support</v>
      </c>
      <c r="P37" s="1" t="str">
        <f>IFERROR(VLOOKUP(C37,Agents!$A$2:$E$26,3,FALSE),"")</f>
        <v>Aman Verma</v>
      </c>
      <c r="Q37" s="1" t="str">
        <f>IFERROR(VLOOKUP(C37,Agents!$A$2:$E$26,5,FALSE),"")</f>
        <v>Gurugram</v>
      </c>
      <c r="R37" s="1">
        <f>IFERROR(VLOOKUP(F37,#REF!,2,FALSE),0)</f>
        <v>0</v>
      </c>
      <c r="S37" s="1" t="str">
        <f t="shared" si="0"/>
        <v>Breached</v>
      </c>
      <c r="T37" s="1" t="str">
        <f t="shared" si="1"/>
        <v>Late</v>
      </c>
      <c r="U37" s="1" t="str">
        <f t="shared" si="2"/>
        <v>2025-10</v>
      </c>
      <c r="V37" s="1" t="str">
        <f t="shared" si="3"/>
        <v>Good</v>
      </c>
      <c r="W37" s="1" t="str">
        <f t="shared" si="4"/>
        <v>Needs Coaching</v>
      </c>
      <c r="X37" s="1" t="str">
        <f t="shared" si="5"/>
        <v>Unique</v>
      </c>
    </row>
    <row r="38" spans="1:24" ht="15" customHeight="1">
      <c r="A38" s="1" t="str">
        <f>'Raw Tickets'!$A$38</f>
        <v>T00037</v>
      </c>
      <c r="B38" s="4">
        <f>'Raw Tickets'!$B$38</f>
        <v>45889</v>
      </c>
      <c r="C38" s="1" t="str">
        <f>'Raw Tickets'!$C$38</f>
        <v>A017</v>
      </c>
      <c r="D38" s="1" t="str">
        <f>'Raw Tickets'!$D$38</f>
        <v>Call</v>
      </c>
      <c r="E38" s="1" t="str">
        <f>'Raw Tickets'!$E$38</f>
        <v>Order Cancellation</v>
      </c>
      <c r="F38" s="1" t="str">
        <f>'Raw Tickets'!$F$38</f>
        <v>Medium</v>
      </c>
      <c r="G38" s="1">
        <f>'Raw Tickets'!$G$38</f>
        <v>30.4</v>
      </c>
      <c r="H38" s="1">
        <f>'Raw Tickets'!$H$38</f>
        <v>25</v>
      </c>
      <c r="I38" s="1">
        <f>'Raw Tickets'!$I$38</f>
        <v>5</v>
      </c>
      <c r="J38" s="6">
        <f>'Raw Tickets'!$J$38</f>
        <v>93.5</v>
      </c>
      <c r="K38" s="1" t="str">
        <f>'Raw Tickets'!$K$38</f>
        <v>Closed</v>
      </c>
      <c r="L38" s="1" t="str">
        <f>'Raw Tickets'!$L$38</f>
        <v>No</v>
      </c>
      <c r="M38" s="1" t="str">
        <f>'Raw Tickets'!$M$38</f>
        <v>No</v>
      </c>
      <c r="N38" s="1" t="str">
        <f>IFERROR(VLOOKUP(C38,Agents!$A$2:$E$26,2,FALSE),"")</f>
        <v>Varun Mehta</v>
      </c>
      <c r="O38" s="1" t="str">
        <f>IFERROR(INDEX(Agents!$D$2:$D$26,MATCH(C38,Agents!$A$2:$A$26,0)),"")</f>
        <v>Escalations</v>
      </c>
      <c r="P38" s="1" t="str">
        <f>IFERROR(VLOOKUP(C38,Agents!$A$2:$E$26,3,FALSE),"")</f>
        <v>Pallavi Rao</v>
      </c>
      <c r="Q38" s="1" t="str">
        <f>IFERROR(VLOOKUP(C38,Agents!$A$2:$E$26,5,FALSE),"")</f>
        <v>Gurugram</v>
      </c>
      <c r="R38" s="1">
        <f>IFERROR(VLOOKUP(F38,#REF!,2,FALSE),0)</f>
        <v>0</v>
      </c>
      <c r="S38" s="1" t="str">
        <f t="shared" si="0"/>
        <v>Breached</v>
      </c>
      <c r="T38" s="1" t="str">
        <f t="shared" si="1"/>
        <v>Within Target</v>
      </c>
      <c r="U38" s="1" t="str">
        <f t="shared" si="2"/>
        <v>2025-08</v>
      </c>
      <c r="V38" s="1" t="str">
        <f t="shared" si="3"/>
        <v>Good</v>
      </c>
      <c r="W38" s="1" t="str">
        <f t="shared" si="4"/>
        <v>Pass</v>
      </c>
      <c r="X38" s="1" t="str">
        <f t="shared" si="5"/>
        <v>Unique</v>
      </c>
    </row>
    <row r="39" spans="1:24" ht="15" customHeight="1">
      <c r="A39" s="1" t="str">
        <f>'Raw Tickets'!$A$39</f>
        <v>T00038</v>
      </c>
      <c r="B39" s="4">
        <f>'Raw Tickets'!$B$39</f>
        <v>45890</v>
      </c>
      <c r="C39" s="1" t="str">
        <f>'Raw Tickets'!$C$39</f>
        <v>A004</v>
      </c>
      <c r="D39" s="1" t="str">
        <f>'Raw Tickets'!$D$39</f>
        <v>Call</v>
      </c>
      <c r="E39" s="1" t="str">
        <f>'Raw Tickets'!$E$39</f>
        <v>Payment Failure</v>
      </c>
      <c r="F39" s="1" t="str">
        <f>'Raw Tickets'!$F$39</f>
        <v>High</v>
      </c>
      <c r="G39" s="1">
        <f>'Raw Tickets'!$G$39</f>
        <v>12.3</v>
      </c>
      <c r="H39" s="1">
        <f>'Raw Tickets'!$H$39</f>
        <v>5</v>
      </c>
      <c r="I39" s="1">
        <f>'Raw Tickets'!$I$39</f>
        <v>4</v>
      </c>
      <c r="J39" s="6">
        <f>'Raw Tickets'!$J$39</f>
        <v>90.8</v>
      </c>
      <c r="K39" s="1" t="str">
        <f>'Raw Tickets'!$K$39</f>
        <v>Open</v>
      </c>
      <c r="L39" s="1" t="str">
        <f>'Raw Tickets'!$L$39</f>
        <v>No</v>
      </c>
      <c r="M39" s="1" t="str">
        <f>'Raw Tickets'!$M$39</f>
        <v>No</v>
      </c>
      <c r="N39" s="1" t="str">
        <f>IFERROR(VLOOKUP(C39,Agents!$A$2:$E$26,2,FALSE),"")</f>
        <v>Arjun Agarwal</v>
      </c>
      <c r="O39" s="1" t="str">
        <f>IFERROR(INDEX(Agents!$D$2:$D$26,MATCH(C39,Agents!$A$2:$A$26,0)),"")</f>
        <v>Email Support</v>
      </c>
      <c r="P39" s="1" t="str">
        <f>IFERROR(VLOOKUP(C39,Agents!$A$2:$E$26,3,FALSE),"")</f>
        <v>Aman Verma</v>
      </c>
      <c r="Q39" s="1" t="str">
        <f>IFERROR(VLOOKUP(C39,Agents!$A$2:$E$26,5,FALSE),"")</f>
        <v>Bengaluru</v>
      </c>
      <c r="R39" s="1">
        <f>IFERROR(VLOOKUP(F39,#REF!,2,FALSE),0)</f>
        <v>0</v>
      </c>
      <c r="S39" s="1" t="str">
        <f t="shared" si="0"/>
        <v>Breached</v>
      </c>
      <c r="T39" s="1" t="str">
        <f t="shared" si="1"/>
        <v>Within Target</v>
      </c>
      <c r="U39" s="1" t="str">
        <f t="shared" si="2"/>
        <v>2025-08</v>
      </c>
      <c r="V39" s="1" t="str">
        <f t="shared" si="3"/>
        <v>Good</v>
      </c>
      <c r="W39" s="1" t="str">
        <f t="shared" si="4"/>
        <v>Pass</v>
      </c>
      <c r="X39" s="1" t="str">
        <f t="shared" si="5"/>
        <v>Unique</v>
      </c>
    </row>
    <row r="40" spans="1:24" ht="15" customHeight="1">
      <c r="A40" s="1" t="str">
        <f>'Raw Tickets'!$A$40</f>
        <v>T00039</v>
      </c>
      <c r="B40" s="4">
        <f>'Raw Tickets'!$B$40</f>
        <v>45687</v>
      </c>
      <c r="C40" s="1" t="str">
        <f>'Raw Tickets'!$C$40</f>
        <v>A001</v>
      </c>
      <c r="D40" s="1" t="str">
        <f>'Raw Tickets'!$D$40</f>
        <v>Email</v>
      </c>
      <c r="E40" s="1" t="str">
        <f>'Raw Tickets'!$E$40</f>
        <v>Product Quality</v>
      </c>
      <c r="F40" s="1" t="str">
        <f>'Raw Tickets'!$F$40</f>
        <v>Medium</v>
      </c>
      <c r="G40" s="1">
        <f>'Raw Tickets'!$G$40</f>
        <v>28.3</v>
      </c>
      <c r="H40" s="1">
        <f>'Raw Tickets'!$H$40</f>
        <v>1</v>
      </c>
      <c r="I40" s="1">
        <f>'Raw Tickets'!$I$40</f>
        <v>5</v>
      </c>
      <c r="J40" s="6">
        <f>'Raw Tickets'!$J$40</f>
        <v>87.5</v>
      </c>
      <c r="K40" s="1" t="str">
        <f>'Raw Tickets'!$K$40</f>
        <v>Closed</v>
      </c>
      <c r="L40" s="1" t="str">
        <f>'Raw Tickets'!$L$40</f>
        <v>No</v>
      </c>
      <c r="M40" s="1" t="str">
        <f>'Raw Tickets'!$M$40</f>
        <v>No</v>
      </c>
      <c r="N40" s="1" t="str">
        <f>IFERROR(VLOOKUP(C40,Agents!$A$2:$E$26,2,FALSE),"")</f>
        <v>Ishita Patel</v>
      </c>
      <c r="O40" s="1" t="str">
        <f>IFERROR(INDEX(Agents!$D$2:$D$26,MATCH(C40,Agents!$A$2:$A$26,0)),"")</f>
        <v>Email Support</v>
      </c>
      <c r="P40" s="1" t="str">
        <f>IFERROR(VLOOKUP(C40,Agents!$A$2:$E$26,3,FALSE),"")</f>
        <v>Aman Verma</v>
      </c>
      <c r="Q40" s="1" t="str">
        <f>IFERROR(VLOOKUP(C40,Agents!$A$2:$E$26,5,FALSE),"")</f>
        <v>Gurugram</v>
      </c>
      <c r="R40" s="1">
        <f>IFERROR(VLOOKUP(F40,#REF!,2,FALSE),0)</f>
        <v>0</v>
      </c>
      <c r="S40" s="1" t="str">
        <f t="shared" si="0"/>
        <v>Breached</v>
      </c>
      <c r="T40" s="1" t="str">
        <f t="shared" si="1"/>
        <v>Within Target</v>
      </c>
      <c r="U40" s="1" t="str">
        <f t="shared" si="2"/>
        <v>2025-01</v>
      </c>
      <c r="V40" s="1" t="str">
        <f t="shared" si="3"/>
        <v>Good</v>
      </c>
      <c r="W40" s="1" t="str">
        <f t="shared" si="4"/>
        <v>Pass</v>
      </c>
      <c r="X40" s="1" t="str">
        <f t="shared" si="5"/>
        <v>Unique</v>
      </c>
    </row>
    <row r="41" spans="1:24" ht="15" customHeight="1">
      <c r="A41" s="1" t="str">
        <f>'Raw Tickets'!$A$41</f>
        <v>T00040</v>
      </c>
      <c r="B41" s="4">
        <f>'Raw Tickets'!$B$41</f>
        <v>45820</v>
      </c>
      <c r="C41" s="1" t="str">
        <f>'Raw Tickets'!$C$41</f>
        <v>A021</v>
      </c>
      <c r="D41" s="1" t="str">
        <f>'Raw Tickets'!$D$41</f>
        <v>Call</v>
      </c>
      <c r="E41" s="1" t="str">
        <f>'Raw Tickets'!$E$41</f>
        <v>Product Quality</v>
      </c>
      <c r="F41" s="1" t="str">
        <f>'Raw Tickets'!$F$41</f>
        <v>High</v>
      </c>
      <c r="G41" s="1">
        <f>'Raw Tickets'!$G$41</f>
        <v>7.7</v>
      </c>
      <c r="H41" s="1">
        <f>'Raw Tickets'!$H$41</f>
        <v>21</v>
      </c>
      <c r="I41" s="1">
        <f>'Raw Tickets'!$I$41</f>
        <v>5</v>
      </c>
      <c r="J41" s="6">
        <f>'Raw Tickets'!$J$41</f>
        <v>87.9</v>
      </c>
      <c r="K41" s="1" t="str">
        <f>'Raw Tickets'!$K$41</f>
        <v>Closed</v>
      </c>
      <c r="L41" s="1" t="str">
        <f>'Raw Tickets'!$L$41</f>
        <v>No</v>
      </c>
      <c r="M41" s="1" t="str">
        <f>'Raw Tickets'!$M$41</f>
        <v>Yes</v>
      </c>
      <c r="N41" s="1" t="str">
        <f>IFERROR(VLOOKUP(C41,Agents!$A$2:$E$26,2,FALSE),"")</f>
        <v>Nikhil Bansal</v>
      </c>
      <c r="O41" s="1" t="str">
        <f>IFERROR(INDEX(Agents!$D$2:$D$26,MATCH(C41,Agents!$A$2:$A$26,0)),"")</f>
        <v>Seller Support</v>
      </c>
      <c r="P41" s="1" t="str">
        <f>IFERROR(VLOOKUP(C41,Agents!$A$2:$E$26,3,FALSE),"")</f>
        <v>Vivek Jain</v>
      </c>
      <c r="Q41" s="1" t="str">
        <f>IFERROR(VLOOKUP(C41,Agents!$A$2:$E$26,5,FALSE),"")</f>
        <v>Bengaluru</v>
      </c>
      <c r="R41" s="1">
        <f>IFERROR(VLOOKUP(F41,#REF!,2,FALSE),0)</f>
        <v>0</v>
      </c>
      <c r="S41" s="1" t="str">
        <f t="shared" si="0"/>
        <v>Breached</v>
      </c>
      <c r="T41" s="1" t="str">
        <f t="shared" si="1"/>
        <v>Within Target</v>
      </c>
      <c r="U41" s="1" t="str">
        <f t="shared" si="2"/>
        <v>2025-06</v>
      </c>
      <c r="V41" s="1" t="str">
        <f t="shared" si="3"/>
        <v>Good</v>
      </c>
      <c r="W41" s="1" t="str">
        <f t="shared" si="4"/>
        <v>Pass</v>
      </c>
      <c r="X41" s="1" t="str">
        <f t="shared" si="5"/>
        <v>Unique</v>
      </c>
    </row>
    <row r="42" spans="1:24" ht="15" customHeight="1">
      <c r="A42" s="1" t="str">
        <f>'Raw Tickets'!$A$42</f>
        <v>T00041</v>
      </c>
      <c r="B42" s="4">
        <f>'Raw Tickets'!$B$42</f>
        <v>45914</v>
      </c>
      <c r="C42" s="1" t="str">
        <f>'Raw Tickets'!$C$42</f>
        <v>A010</v>
      </c>
      <c r="D42" s="1" t="str">
        <f>'Raw Tickets'!$D$42</f>
        <v>Call</v>
      </c>
      <c r="E42" s="1" t="str">
        <f>'Raw Tickets'!$E$42</f>
        <v>Order Cancellation</v>
      </c>
      <c r="F42" s="1" t="str">
        <f>'Raw Tickets'!$F$42</f>
        <v>Medium</v>
      </c>
      <c r="G42" s="1">
        <f>'Raw Tickets'!$G$42</f>
        <v>16.100000000000001</v>
      </c>
      <c r="H42" s="1">
        <f>'Raw Tickets'!$H$42</f>
        <v>23</v>
      </c>
      <c r="I42" s="1">
        <f>'Raw Tickets'!$I$42</f>
        <v>5</v>
      </c>
      <c r="J42" s="6">
        <f>'Raw Tickets'!$J$42</f>
        <v>75.5</v>
      </c>
      <c r="K42" s="1" t="str">
        <f>'Raw Tickets'!$K$42</f>
        <v>Closed</v>
      </c>
      <c r="L42" s="1" t="str">
        <f>'Raw Tickets'!$L$42</f>
        <v>No</v>
      </c>
      <c r="M42" s="1" t="str">
        <f>'Raw Tickets'!$M$42</f>
        <v>No</v>
      </c>
      <c r="N42" s="1" t="str">
        <f>IFERROR(VLOOKUP(C42,Agents!$A$2:$E$26,2,FALSE),"")</f>
        <v>Ananya Gupta</v>
      </c>
      <c r="O42" s="1" t="str">
        <f>IFERROR(INDEX(Agents!$D$2:$D$26,MATCH(C42,Agents!$A$2:$A$26,0)),"")</f>
        <v>Voice Support</v>
      </c>
      <c r="P42" s="1" t="str">
        <f>IFERROR(VLOOKUP(C42,Agents!$A$2:$E$26,3,FALSE),"")</f>
        <v>Kritika Shah</v>
      </c>
      <c r="Q42" s="1" t="str">
        <f>IFERROR(VLOOKUP(C42,Agents!$A$2:$E$26,5,FALSE),"")</f>
        <v>Gurugram</v>
      </c>
      <c r="R42" s="1">
        <f>IFERROR(VLOOKUP(F42,#REF!,2,FALSE),0)</f>
        <v>0</v>
      </c>
      <c r="S42" s="1" t="str">
        <f t="shared" si="0"/>
        <v>Breached</v>
      </c>
      <c r="T42" s="1" t="str">
        <f t="shared" si="1"/>
        <v>Within Target</v>
      </c>
      <c r="U42" s="1" t="str">
        <f t="shared" si="2"/>
        <v>2025-09</v>
      </c>
      <c r="V42" s="1" t="str">
        <f t="shared" si="3"/>
        <v>Good</v>
      </c>
      <c r="W42" s="1" t="str">
        <f t="shared" si="4"/>
        <v>Needs Coaching</v>
      </c>
      <c r="X42" s="1" t="str">
        <f t="shared" si="5"/>
        <v>Unique</v>
      </c>
    </row>
    <row r="43" spans="1:24" ht="15" customHeight="1">
      <c r="A43" s="1" t="str">
        <f>'Raw Tickets'!$A$43</f>
        <v>T00042</v>
      </c>
      <c r="B43" s="4">
        <f>'Raw Tickets'!$B$43</f>
        <v>45986</v>
      </c>
      <c r="C43" s="1" t="str">
        <f>'Raw Tickets'!$C$43</f>
        <v>A013</v>
      </c>
      <c r="D43" s="1" t="str">
        <f>'Raw Tickets'!$D$43</f>
        <v>Email</v>
      </c>
      <c r="E43" s="1" t="str">
        <f>'Raw Tickets'!$E$43</f>
        <v>Account Issue</v>
      </c>
      <c r="F43" s="1" t="str">
        <f>'Raw Tickets'!$F$43</f>
        <v>High</v>
      </c>
      <c r="G43" s="1">
        <f>'Raw Tickets'!$G$43</f>
        <v>16</v>
      </c>
      <c r="H43" s="1">
        <f>'Raw Tickets'!$H$43</f>
        <v>16</v>
      </c>
      <c r="I43" s="1">
        <f>'Raw Tickets'!$I$43</f>
        <v>1</v>
      </c>
      <c r="J43" s="6">
        <f>'Raw Tickets'!$J$43</f>
        <v>75.900000000000006</v>
      </c>
      <c r="K43" s="1" t="str">
        <f>'Raw Tickets'!$K$43</f>
        <v>Closed</v>
      </c>
      <c r="L43" s="1" t="str">
        <f>'Raw Tickets'!$L$43</f>
        <v>No</v>
      </c>
      <c r="M43" s="1" t="str">
        <f>'Raw Tickets'!$M$43</f>
        <v>No</v>
      </c>
      <c r="N43" s="1" t="str">
        <f>IFERROR(VLOOKUP(C43,Agents!$A$2:$E$26,2,FALSE),"")</f>
        <v>Ananya Jain</v>
      </c>
      <c r="O43" s="1" t="str">
        <f>IFERROR(INDEX(Agents!$D$2:$D$26,MATCH(C43,Agents!$A$2:$A$26,0)),"")</f>
        <v>Chat Support</v>
      </c>
      <c r="P43" s="1" t="str">
        <f>IFERROR(VLOOKUP(C43,Agents!$A$2:$E$26,3,FALSE),"")</f>
        <v>Nitin Gupta</v>
      </c>
      <c r="Q43" s="1" t="str">
        <f>IFERROR(VLOOKUP(C43,Agents!$A$2:$E$26,5,FALSE),"")</f>
        <v>Hyderabad</v>
      </c>
      <c r="R43" s="1">
        <f>IFERROR(VLOOKUP(F43,#REF!,2,FALSE),0)</f>
        <v>0</v>
      </c>
      <c r="S43" s="1" t="str">
        <f t="shared" si="0"/>
        <v>Breached</v>
      </c>
      <c r="T43" s="1" t="str">
        <f t="shared" si="1"/>
        <v>Within Target</v>
      </c>
      <c r="U43" s="1" t="str">
        <f t="shared" si="2"/>
        <v>2025-11</v>
      </c>
      <c r="V43" s="1" t="str">
        <f t="shared" si="3"/>
        <v>Poor</v>
      </c>
      <c r="W43" s="1" t="str">
        <f t="shared" si="4"/>
        <v>Needs Coaching</v>
      </c>
      <c r="X43" s="1" t="str">
        <f t="shared" si="5"/>
        <v>Unique</v>
      </c>
    </row>
    <row r="44" spans="1:24" ht="15" customHeight="1">
      <c r="A44" s="1" t="str">
        <f>'Raw Tickets'!$A$44</f>
        <v>T00043</v>
      </c>
      <c r="B44" s="4">
        <f>'Raw Tickets'!$B$44</f>
        <v>45813</v>
      </c>
      <c r="C44" s="1" t="str">
        <f>'Raw Tickets'!$C$44</f>
        <v>A022</v>
      </c>
      <c r="D44" s="1" t="str">
        <f>'Raw Tickets'!$D$44</f>
        <v>Chat</v>
      </c>
      <c r="E44" s="1" t="str">
        <f>'Raw Tickets'!$E$44</f>
        <v>Payment Failure</v>
      </c>
      <c r="F44" s="1" t="str">
        <f>'Raw Tickets'!$F$44</f>
        <v>Low</v>
      </c>
      <c r="G44" s="1">
        <f>'Raw Tickets'!$G$44</f>
        <v>66</v>
      </c>
      <c r="H44" s="1">
        <f>'Raw Tickets'!$H$44</f>
        <v>38</v>
      </c>
      <c r="I44" s="1">
        <f>'Raw Tickets'!$I$44</f>
        <v>5</v>
      </c>
      <c r="J44" s="6">
        <f>'Raw Tickets'!$J$44</f>
        <v>91.4</v>
      </c>
      <c r="K44" s="1" t="str">
        <f>'Raw Tickets'!$K$44</f>
        <v>Closed</v>
      </c>
      <c r="L44" s="1" t="str">
        <f>'Raw Tickets'!$L$44</f>
        <v>No</v>
      </c>
      <c r="M44" s="1" t="str">
        <f>'Raw Tickets'!$M$44</f>
        <v>No</v>
      </c>
      <c r="N44" s="1" t="str">
        <f>IFERROR(VLOOKUP(C44,Agents!$A$2:$E$26,2,FALSE),"")</f>
        <v>Varun Sharma</v>
      </c>
      <c r="O44" s="1" t="str">
        <f>IFERROR(INDEX(Agents!$D$2:$D$26,MATCH(C44,Agents!$A$2:$A$26,0)),"")</f>
        <v>Seller Support</v>
      </c>
      <c r="P44" s="1" t="str">
        <f>IFERROR(VLOOKUP(C44,Agents!$A$2:$E$26,3,FALSE),"")</f>
        <v>Vivek Jain</v>
      </c>
      <c r="Q44" s="1" t="str">
        <f>IFERROR(VLOOKUP(C44,Agents!$A$2:$E$26,5,FALSE),"")</f>
        <v>Noida</v>
      </c>
      <c r="R44" s="1">
        <f>IFERROR(VLOOKUP(F44,#REF!,2,FALSE),0)</f>
        <v>0</v>
      </c>
      <c r="S44" s="1" t="str">
        <f t="shared" si="0"/>
        <v>Breached</v>
      </c>
      <c r="T44" s="1" t="str">
        <f t="shared" si="1"/>
        <v>Late</v>
      </c>
      <c r="U44" s="1" t="str">
        <f t="shared" si="2"/>
        <v>2025-06</v>
      </c>
      <c r="V44" s="1" t="str">
        <f t="shared" si="3"/>
        <v>Good</v>
      </c>
      <c r="W44" s="1" t="str">
        <f t="shared" si="4"/>
        <v>Pass</v>
      </c>
      <c r="X44" s="1" t="str">
        <f t="shared" si="5"/>
        <v>Unique</v>
      </c>
    </row>
    <row r="45" spans="1:24" ht="15" customHeight="1">
      <c r="A45" s="1" t="str">
        <f>'Raw Tickets'!$A$45</f>
        <v>T00044</v>
      </c>
      <c r="B45" s="4">
        <f>'Raw Tickets'!$B$45</f>
        <v>45863</v>
      </c>
      <c r="C45" s="1" t="str">
        <f>'Raw Tickets'!$C$45</f>
        <v>A020</v>
      </c>
      <c r="D45" s="1" t="str">
        <f>'Raw Tickets'!$D$45</f>
        <v>Call</v>
      </c>
      <c r="E45" s="1" t="str">
        <f>'Raw Tickets'!$E$45</f>
        <v>Delivery Delay</v>
      </c>
      <c r="F45" s="1" t="str">
        <f>'Raw Tickets'!$F$45</f>
        <v>High</v>
      </c>
      <c r="G45" s="1">
        <f>'Raw Tickets'!$G$45</f>
        <v>6</v>
      </c>
      <c r="H45" s="1">
        <f>'Raw Tickets'!$H$45</f>
        <v>22</v>
      </c>
      <c r="I45" s="1">
        <f>'Raw Tickets'!$I$45</f>
        <v>4</v>
      </c>
      <c r="J45" s="6">
        <f>'Raw Tickets'!$J$45</f>
        <v>75.3</v>
      </c>
      <c r="K45" s="1" t="str">
        <f>'Raw Tickets'!$K$45</f>
        <v>Closed</v>
      </c>
      <c r="L45" s="1" t="str">
        <f>'Raw Tickets'!$L$45</f>
        <v>No</v>
      </c>
      <c r="M45" s="1" t="str">
        <f>'Raw Tickets'!$M$45</f>
        <v>No</v>
      </c>
      <c r="N45" s="1" t="str">
        <f>IFERROR(VLOOKUP(C45,Agents!$A$2:$E$26,2,FALSE),"")</f>
        <v>Aditi Bansal</v>
      </c>
      <c r="O45" s="1" t="str">
        <f>IFERROR(INDEX(Agents!$D$2:$D$26,MATCH(C45,Agents!$A$2:$A$26,0)),"")</f>
        <v>Escalations</v>
      </c>
      <c r="P45" s="1" t="str">
        <f>IFERROR(VLOOKUP(C45,Agents!$A$2:$E$26,3,FALSE),"")</f>
        <v>Pallavi Rao</v>
      </c>
      <c r="Q45" s="1" t="str">
        <f>IFERROR(VLOOKUP(C45,Agents!$A$2:$E$26,5,FALSE),"")</f>
        <v>Noida</v>
      </c>
      <c r="R45" s="1">
        <f>IFERROR(VLOOKUP(F45,#REF!,2,FALSE),0)</f>
        <v>0</v>
      </c>
      <c r="S45" s="1" t="str">
        <f t="shared" si="0"/>
        <v>Breached</v>
      </c>
      <c r="T45" s="1" t="str">
        <f t="shared" si="1"/>
        <v>Within Target</v>
      </c>
      <c r="U45" s="1" t="str">
        <f t="shared" si="2"/>
        <v>2025-07</v>
      </c>
      <c r="V45" s="1" t="str">
        <f t="shared" si="3"/>
        <v>Good</v>
      </c>
      <c r="W45" s="1" t="str">
        <f t="shared" si="4"/>
        <v>Needs Coaching</v>
      </c>
      <c r="X45" s="1" t="str">
        <f t="shared" si="5"/>
        <v>Unique</v>
      </c>
    </row>
    <row r="46" spans="1:24" ht="15" customHeight="1">
      <c r="A46" s="1" t="str">
        <f>'Raw Tickets'!$A$46</f>
        <v>T00045</v>
      </c>
      <c r="B46" s="4">
        <f>'Raw Tickets'!$B$46</f>
        <v>45705</v>
      </c>
      <c r="C46" s="1" t="str">
        <f>'Raw Tickets'!$C$46</f>
        <v>A002</v>
      </c>
      <c r="D46" s="1" t="str">
        <f>'Raw Tickets'!$D$46</f>
        <v>Call</v>
      </c>
      <c r="E46" s="1" t="str">
        <f>'Raw Tickets'!$E$46</f>
        <v>Product Quality</v>
      </c>
      <c r="F46" s="1" t="str">
        <f>'Raw Tickets'!$F$46</f>
        <v>High</v>
      </c>
      <c r="G46" s="1">
        <f>'Raw Tickets'!$G$46</f>
        <v>8.5</v>
      </c>
      <c r="H46" s="1">
        <f>'Raw Tickets'!$H$46</f>
        <v>38</v>
      </c>
      <c r="I46" s="1">
        <f>'Raw Tickets'!$I$46</f>
        <v>5</v>
      </c>
      <c r="J46" s="6">
        <f>'Raw Tickets'!$J$46</f>
        <v>84.7</v>
      </c>
      <c r="K46" s="1" t="str">
        <f>'Raw Tickets'!$K$46</f>
        <v>Closed</v>
      </c>
      <c r="L46" s="1" t="str">
        <f>'Raw Tickets'!$L$46</f>
        <v>No</v>
      </c>
      <c r="M46" s="1" t="str">
        <f>'Raw Tickets'!$M$46</f>
        <v>No</v>
      </c>
      <c r="N46" s="1" t="str">
        <f>IFERROR(VLOOKUP(C46,Agents!$A$2:$E$26,2,FALSE),"")</f>
        <v>Gaurav Khan</v>
      </c>
      <c r="O46" s="1" t="str">
        <f>IFERROR(INDEX(Agents!$D$2:$D$26,MATCH(C46,Agents!$A$2:$A$26,0)),"")</f>
        <v>Email Support</v>
      </c>
      <c r="P46" s="1" t="str">
        <f>IFERROR(VLOOKUP(C46,Agents!$A$2:$E$26,3,FALSE),"")</f>
        <v>Aman Verma</v>
      </c>
      <c r="Q46" s="1" t="str">
        <f>IFERROR(VLOOKUP(C46,Agents!$A$2:$E$26,5,FALSE),"")</f>
        <v>Noida</v>
      </c>
      <c r="R46" s="1">
        <f>IFERROR(VLOOKUP(F46,#REF!,2,FALSE),0)</f>
        <v>0</v>
      </c>
      <c r="S46" s="1" t="str">
        <f t="shared" si="0"/>
        <v>Breached</v>
      </c>
      <c r="T46" s="1" t="str">
        <f t="shared" si="1"/>
        <v>Late</v>
      </c>
      <c r="U46" s="1" t="str">
        <f t="shared" si="2"/>
        <v>2025-02</v>
      </c>
      <c r="V46" s="1" t="str">
        <f t="shared" si="3"/>
        <v>Good</v>
      </c>
      <c r="W46" s="1" t="str">
        <f t="shared" si="4"/>
        <v>Needs Coaching</v>
      </c>
      <c r="X46" s="1" t="str">
        <f t="shared" si="5"/>
        <v>Unique</v>
      </c>
    </row>
    <row r="47" spans="1:24" ht="15" customHeight="1">
      <c r="A47" s="1" t="str">
        <f>'Raw Tickets'!$A$47</f>
        <v>T00046</v>
      </c>
      <c r="B47" s="4">
        <f>'Raw Tickets'!$B$47</f>
        <v>45726</v>
      </c>
      <c r="C47" s="1" t="str">
        <f>'Raw Tickets'!$C$47</f>
        <v>A017</v>
      </c>
      <c r="D47" s="1" t="str">
        <f>'Raw Tickets'!$D$47</f>
        <v>Chat</v>
      </c>
      <c r="E47" s="1" t="str">
        <f>'Raw Tickets'!$E$47</f>
        <v>Order Cancellation</v>
      </c>
      <c r="F47" s="1" t="str">
        <f>'Raw Tickets'!$F$47</f>
        <v>Medium</v>
      </c>
      <c r="G47" s="1">
        <f>'Raw Tickets'!$G$47</f>
        <v>31.7</v>
      </c>
      <c r="H47" s="1">
        <f>'Raw Tickets'!$H$47</f>
        <v>42</v>
      </c>
      <c r="I47" s="1">
        <f>'Raw Tickets'!$I$47</f>
        <v>5</v>
      </c>
      <c r="J47" s="6">
        <f>'Raw Tickets'!$J$47</f>
        <v>81.2</v>
      </c>
      <c r="K47" s="1" t="str">
        <f>'Raw Tickets'!$K$47</f>
        <v>Closed</v>
      </c>
      <c r="L47" s="1" t="str">
        <f>'Raw Tickets'!$L$47</f>
        <v>No</v>
      </c>
      <c r="M47" s="1" t="str">
        <f>'Raw Tickets'!$M$47</f>
        <v>No</v>
      </c>
      <c r="N47" s="1" t="str">
        <f>IFERROR(VLOOKUP(C47,Agents!$A$2:$E$26,2,FALSE),"")</f>
        <v>Varun Mehta</v>
      </c>
      <c r="O47" s="1" t="str">
        <f>IFERROR(INDEX(Agents!$D$2:$D$26,MATCH(C47,Agents!$A$2:$A$26,0)),"")</f>
        <v>Escalations</v>
      </c>
      <c r="P47" s="1" t="str">
        <f>IFERROR(VLOOKUP(C47,Agents!$A$2:$E$26,3,FALSE),"")</f>
        <v>Pallavi Rao</v>
      </c>
      <c r="Q47" s="1" t="str">
        <f>IFERROR(VLOOKUP(C47,Agents!$A$2:$E$26,5,FALSE),"")</f>
        <v>Gurugram</v>
      </c>
      <c r="R47" s="1">
        <f>IFERROR(VLOOKUP(F47,#REF!,2,FALSE),0)</f>
        <v>0</v>
      </c>
      <c r="S47" s="1" t="str">
        <f t="shared" si="0"/>
        <v>Breached</v>
      </c>
      <c r="T47" s="1" t="str">
        <f t="shared" si="1"/>
        <v>Late</v>
      </c>
      <c r="U47" s="1" t="str">
        <f t="shared" si="2"/>
        <v>2025-03</v>
      </c>
      <c r="V47" s="1" t="str">
        <f t="shared" si="3"/>
        <v>Good</v>
      </c>
      <c r="W47" s="1" t="str">
        <f t="shared" si="4"/>
        <v>Needs Coaching</v>
      </c>
      <c r="X47" s="1" t="str">
        <f t="shared" si="5"/>
        <v>Unique</v>
      </c>
    </row>
    <row r="48" spans="1:24" ht="15" customHeight="1">
      <c r="A48" s="1" t="str">
        <f>'Raw Tickets'!$A$48</f>
        <v>T00047</v>
      </c>
      <c r="B48" s="4">
        <f>'Raw Tickets'!$B$48</f>
        <v>45874</v>
      </c>
      <c r="C48" s="1" t="str">
        <f>'Raw Tickets'!$C$48</f>
        <v>A023</v>
      </c>
      <c r="D48" s="1" t="str">
        <f>'Raw Tickets'!$D$48</f>
        <v>Email</v>
      </c>
      <c r="E48" s="1" t="str">
        <f>'Raw Tickets'!$E$48</f>
        <v>Refund</v>
      </c>
      <c r="F48" s="1" t="str">
        <f>'Raw Tickets'!$F$48</f>
        <v>Low</v>
      </c>
      <c r="G48" s="1">
        <f>'Raw Tickets'!$G$48</f>
        <v>39.799999999999997</v>
      </c>
      <c r="H48" s="1">
        <f>'Raw Tickets'!$H$48</f>
        <v>26</v>
      </c>
      <c r="I48" s="1">
        <f>'Raw Tickets'!$I$48</f>
        <v>5</v>
      </c>
      <c r="J48" s="6">
        <f>'Raw Tickets'!$J$48</f>
        <v>81.5</v>
      </c>
      <c r="K48" s="1" t="str">
        <f>'Raw Tickets'!$K$48</f>
        <v>Closed</v>
      </c>
      <c r="L48" s="1" t="str">
        <f>'Raw Tickets'!$L$48</f>
        <v>No</v>
      </c>
      <c r="M48" s="1" t="str">
        <f>'Raw Tickets'!$M$48</f>
        <v>No</v>
      </c>
      <c r="N48" s="1" t="str">
        <f>IFERROR(VLOOKUP(C48,Agents!$A$2:$E$26,2,FALSE),"")</f>
        <v>Ishita Verma</v>
      </c>
      <c r="O48" s="1" t="str">
        <f>IFERROR(INDEX(Agents!$D$2:$D$26,MATCH(C48,Agents!$A$2:$A$26,0)),"")</f>
        <v>Seller Support</v>
      </c>
      <c r="P48" s="1" t="str">
        <f>IFERROR(VLOOKUP(C48,Agents!$A$2:$E$26,3,FALSE),"")</f>
        <v>Vivek Jain</v>
      </c>
      <c r="Q48" s="1" t="str">
        <f>IFERROR(VLOOKUP(C48,Agents!$A$2:$E$26,5,FALSE),"")</f>
        <v>Noida</v>
      </c>
      <c r="R48" s="1">
        <f>IFERROR(VLOOKUP(F48,#REF!,2,FALSE),0)</f>
        <v>0</v>
      </c>
      <c r="S48" s="1" t="str">
        <f t="shared" si="0"/>
        <v>Breached</v>
      </c>
      <c r="T48" s="1" t="str">
        <f t="shared" si="1"/>
        <v>Within Target</v>
      </c>
      <c r="U48" s="1" t="str">
        <f t="shared" si="2"/>
        <v>2025-08</v>
      </c>
      <c r="V48" s="1" t="str">
        <f t="shared" si="3"/>
        <v>Good</v>
      </c>
      <c r="W48" s="1" t="str">
        <f t="shared" si="4"/>
        <v>Needs Coaching</v>
      </c>
      <c r="X48" s="1" t="str">
        <f t="shared" si="5"/>
        <v>Unique</v>
      </c>
    </row>
    <row r="49" spans="1:24" ht="15" customHeight="1">
      <c r="A49" s="1" t="str">
        <f>'Raw Tickets'!$A$49</f>
        <v>T00048</v>
      </c>
      <c r="B49" s="4">
        <f>'Raw Tickets'!$B$49</f>
        <v>45984</v>
      </c>
      <c r="C49" s="1" t="str">
        <f>'Raw Tickets'!$C$49</f>
        <v>A016</v>
      </c>
      <c r="D49" s="1" t="str">
        <f>'Raw Tickets'!$D$49</f>
        <v>Email</v>
      </c>
      <c r="E49" s="1" t="str">
        <f>'Raw Tickets'!$E$49</f>
        <v>Delivery Delay</v>
      </c>
      <c r="F49" s="1" t="str">
        <f>'Raw Tickets'!$F$49</f>
        <v>High</v>
      </c>
      <c r="G49" s="1">
        <f>'Raw Tickets'!$G$49</f>
        <v>8.6999999999999993</v>
      </c>
      <c r="H49" s="1">
        <f>'Raw Tickets'!$H$49</f>
        <v>2</v>
      </c>
      <c r="I49" s="1">
        <f>'Raw Tickets'!$I$49</f>
        <v>5</v>
      </c>
      <c r="J49" s="6">
        <f>'Raw Tickets'!$J$49</f>
        <v>93.4</v>
      </c>
      <c r="K49" s="1" t="str">
        <f>'Raw Tickets'!$K$49</f>
        <v>Closed</v>
      </c>
      <c r="L49" s="1" t="str">
        <f>'Raw Tickets'!$L$49</f>
        <v>No</v>
      </c>
      <c r="M49" s="1" t="str">
        <f>'Raw Tickets'!$M$49</f>
        <v>No</v>
      </c>
      <c r="N49" s="1" t="str">
        <f>IFERROR(VLOOKUP(C49,Agents!$A$2:$E$26,2,FALSE),"")</f>
        <v>Pooja Bansal</v>
      </c>
      <c r="O49" s="1" t="str">
        <f>IFERROR(INDEX(Agents!$D$2:$D$26,MATCH(C49,Agents!$A$2:$A$26,0)),"")</f>
        <v>Escalations</v>
      </c>
      <c r="P49" s="1" t="str">
        <f>IFERROR(VLOOKUP(C49,Agents!$A$2:$E$26,3,FALSE),"")</f>
        <v>Pallavi Rao</v>
      </c>
      <c r="Q49" s="1" t="str">
        <f>IFERROR(VLOOKUP(C49,Agents!$A$2:$E$26,5,FALSE),"")</f>
        <v>Hyderabad</v>
      </c>
      <c r="R49" s="1">
        <f>IFERROR(VLOOKUP(F49,#REF!,2,FALSE),0)</f>
        <v>0</v>
      </c>
      <c r="S49" s="1" t="str">
        <f t="shared" si="0"/>
        <v>Breached</v>
      </c>
      <c r="T49" s="1" t="str">
        <f t="shared" si="1"/>
        <v>Within Target</v>
      </c>
      <c r="U49" s="1" t="str">
        <f t="shared" si="2"/>
        <v>2025-11</v>
      </c>
      <c r="V49" s="1" t="str">
        <f t="shared" si="3"/>
        <v>Good</v>
      </c>
      <c r="W49" s="1" t="str">
        <f t="shared" si="4"/>
        <v>Pass</v>
      </c>
      <c r="X49" s="1" t="str">
        <f t="shared" si="5"/>
        <v>Unique</v>
      </c>
    </row>
    <row r="50" spans="1:24" ht="15" customHeight="1">
      <c r="A50" s="1" t="str">
        <f>'Raw Tickets'!$A$50</f>
        <v>T00049</v>
      </c>
      <c r="B50" s="4">
        <f>'Raw Tickets'!$B$50</f>
        <v>45677</v>
      </c>
      <c r="C50" s="1" t="str">
        <f>'Raw Tickets'!$C$50</f>
        <v>A003</v>
      </c>
      <c r="D50" s="1" t="str">
        <f>'Raw Tickets'!$D$50</f>
        <v>Chat</v>
      </c>
      <c r="E50" s="1" t="str">
        <f>'Raw Tickets'!$E$50</f>
        <v>Product Quality</v>
      </c>
      <c r="F50" s="1" t="str">
        <f>'Raw Tickets'!$F$50</f>
        <v>Medium</v>
      </c>
      <c r="G50" s="1">
        <f>'Raw Tickets'!$G$50</f>
        <v>24.3</v>
      </c>
      <c r="H50" s="1">
        <f>'Raw Tickets'!$H$50</f>
        <v>50</v>
      </c>
      <c r="I50" s="1">
        <f>'Raw Tickets'!$I$50</f>
        <v>5</v>
      </c>
      <c r="J50" s="6">
        <f>'Raw Tickets'!$J$50</f>
        <v>98.2</v>
      </c>
      <c r="K50" s="1" t="str">
        <f>'Raw Tickets'!$K$50</f>
        <v>Closed</v>
      </c>
      <c r="L50" s="1" t="str">
        <f>'Raw Tickets'!$L$50</f>
        <v>No</v>
      </c>
      <c r="M50" s="1" t="str">
        <f>'Raw Tickets'!$M$50</f>
        <v>No</v>
      </c>
      <c r="N50" s="1" t="str">
        <f>IFERROR(VLOOKUP(C50,Agents!$A$2:$E$26,2,FALSE),"")</f>
        <v>Kabir Verma</v>
      </c>
      <c r="O50" s="1" t="str">
        <f>IFERROR(INDEX(Agents!$D$2:$D$26,MATCH(C50,Agents!$A$2:$A$26,0)),"")</f>
        <v>Email Support</v>
      </c>
      <c r="P50" s="1" t="str">
        <f>IFERROR(VLOOKUP(C50,Agents!$A$2:$E$26,3,FALSE),"")</f>
        <v>Aman Verma</v>
      </c>
      <c r="Q50" s="1" t="str">
        <f>IFERROR(VLOOKUP(C50,Agents!$A$2:$E$26,5,FALSE),"")</f>
        <v>Gurugram</v>
      </c>
      <c r="R50" s="1">
        <f>IFERROR(VLOOKUP(F50,#REF!,2,FALSE),0)</f>
        <v>0</v>
      </c>
      <c r="S50" s="1" t="str">
        <f t="shared" si="0"/>
        <v>Breached</v>
      </c>
      <c r="T50" s="1" t="str">
        <f t="shared" si="1"/>
        <v>Late</v>
      </c>
      <c r="U50" s="1" t="str">
        <f t="shared" si="2"/>
        <v>2025-01</v>
      </c>
      <c r="V50" s="1" t="str">
        <f t="shared" si="3"/>
        <v>Good</v>
      </c>
      <c r="W50" s="1" t="str">
        <f t="shared" si="4"/>
        <v>Pass</v>
      </c>
      <c r="X50" s="1" t="str">
        <f t="shared" si="5"/>
        <v>Unique</v>
      </c>
    </row>
    <row r="51" spans="1:24" ht="15" customHeight="1">
      <c r="A51" s="1" t="str">
        <f>'Raw Tickets'!$A$51</f>
        <v>T00050</v>
      </c>
      <c r="B51" s="4">
        <f>'Raw Tickets'!$B$51</f>
        <v>45662</v>
      </c>
      <c r="C51" s="1" t="str">
        <f>'Raw Tickets'!$C$51</f>
        <v>A016</v>
      </c>
      <c r="D51" s="1" t="str">
        <f>'Raw Tickets'!$D$51</f>
        <v>Email</v>
      </c>
      <c r="E51" s="1" t="str">
        <f>'Raw Tickets'!$E$51</f>
        <v>Payment Failure</v>
      </c>
      <c r="F51" s="1" t="str">
        <f>'Raw Tickets'!$F$51</f>
        <v>Medium</v>
      </c>
      <c r="G51" s="1">
        <f>'Raw Tickets'!$G$51</f>
        <v>26.1</v>
      </c>
      <c r="H51" s="1">
        <f>'Raw Tickets'!$H$51</f>
        <v>39</v>
      </c>
      <c r="I51" s="1">
        <f>'Raw Tickets'!$I$51</f>
        <v>4</v>
      </c>
      <c r="J51" s="6">
        <f>'Raw Tickets'!$J$51</f>
        <v>89</v>
      </c>
      <c r="K51" s="1" t="str">
        <f>'Raw Tickets'!$K$51</f>
        <v>Closed</v>
      </c>
      <c r="L51" s="1" t="str">
        <f>'Raw Tickets'!$L$51</f>
        <v>No</v>
      </c>
      <c r="M51" s="1" t="str">
        <f>'Raw Tickets'!$M$51</f>
        <v>No</v>
      </c>
      <c r="N51" s="1" t="str">
        <f>IFERROR(VLOOKUP(C51,Agents!$A$2:$E$26,2,FALSE),"")</f>
        <v>Pooja Bansal</v>
      </c>
      <c r="O51" s="1" t="str">
        <f>IFERROR(INDEX(Agents!$D$2:$D$26,MATCH(C51,Agents!$A$2:$A$26,0)),"")</f>
        <v>Escalations</v>
      </c>
      <c r="P51" s="1" t="str">
        <f>IFERROR(VLOOKUP(C51,Agents!$A$2:$E$26,3,FALSE),"")</f>
        <v>Pallavi Rao</v>
      </c>
      <c r="Q51" s="1" t="str">
        <f>IFERROR(VLOOKUP(C51,Agents!$A$2:$E$26,5,FALSE),"")</f>
        <v>Hyderabad</v>
      </c>
      <c r="R51" s="1">
        <f>IFERROR(VLOOKUP(F51,#REF!,2,FALSE),0)</f>
        <v>0</v>
      </c>
      <c r="S51" s="1" t="str">
        <f t="shared" si="0"/>
        <v>Breached</v>
      </c>
      <c r="T51" s="1" t="str">
        <f t="shared" si="1"/>
        <v>Late</v>
      </c>
      <c r="U51" s="1" t="str">
        <f t="shared" si="2"/>
        <v>2025-01</v>
      </c>
      <c r="V51" s="1" t="str">
        <f t="shared" si="3"/>
        <v>Good</v>
      </c>
      <c r="W51" s="1" t="str">
        <f t="shared" si="4"/>
        <v>Pass</v>
      </c>
      <c r="X51" s="1" t="str">
        <f t="shared" si="5"/>
        <v>Unique</v>
      </c>
    </row>
    <row r="52" spans="1:24" ht="15" customHeight="1">
      <c r="A52" s="1" t="str">
        <f>'Raw Tickets'!$A$52</f>
        <v>T00051</v>
      </c>
      <c r="B52" s="4">
        <f>'Raw Tickets'!$B$52</f>
        <v>46016</v>
      </c>
      <c r="C52" s="1" t="str">
        <f>'Raw Tickets'!$C$52</f>
        <v>A011</v>
      </c>
      <c r="D52" s="1" t="str">
        <f>'Raw Tickets'!$D$52</f>
        <v>Email</v>
      </c>
      <c r="E52" s="1" t="str">
        <f>'Raw Tickets'!$E$52</f>
        <v>Product Quality</v>
      </c>
      <c r="F52" s="1" t="str">
        <f>'Raw Tickets'!$F$52</f>
        <v>Low</v>
      </c>
      <c r="G52" s="1">
        <f>'Raw Tickets'!$G$52</f>
        <v>38.200000000000003</v>
      </c>
      <c r="H52" s="1">
        <f>'Raw Tickets'!$H$52</f>
        <v>1</v>
      </c>
      <c r="I52" s="1">
        <f>'Raw Tickets'!$I$52</f>
        <v>3</v>
      </c>
      <c r="J52" s="6">
        <f>'Raw Tickets'!$J$52</f>
        <v>100</v>
      </c>
      <c r="K52" s="1" t="str">
        <f>'Raw Tickets'!$K$52</f>
        <v>Closed</v>
      </c>
      <c r="L52" s="1" t="str">
        <f>'Raw Tickets'!$L$52</f>
        <v>No</v>
      </c>
      <c r="M52" s="1" t="str">
        <f>'Raw Tickets'!$M$52</f>
        <v>No</v>
      </c>
      <c r="N52" s="1" t="str">
        <f>IFERROR(VLOOKUP(C52,Agents!$A$2:$E$26,2,FALSE),"")</f>
        <v>Shreya Singh</v>
      </c>
      <c r="O52" s="1" t="str">
        <f>IFERROR(INDEX(Agents!$D$2:$D$26,MATCH(C52,Agents!$A$2:$A$26,0)),"")</f>
        <v>Chat Support</v>
      </c>
      <c r="P52" s="1" t="str">
        <f>IFERROR(VLOOKUP(C52,Agents!$A$2:$E$26,3,FALSE),"")</f>
        <v>Nitin Gupta</v>
      </c>
      <c r="Q52" s="1" t="str">
        <f>IFERROR(VLOOKUP(C52,Agents!$A$2:$E$26,5,FALSE),"")</f>
        <v>Noida</v>
      </c>
      <c r="R52" s="1">
        <f>IFERROR(VLOOKUP(F52,#REF!,2,FALSE),0)</f>
        <v>0</v>
      </c>
      <c r="S52" s="1" t="str">
        <f t="shared" si="0"/>
        <v>Breached</v>
      </c>
      <c r="T52" s="1" t="str">
        <f t="shared" si="1"/>
        <v>Within Target</v>
      </c>
      <c r="U52" s="1" t="str">
        <f t="shared" si="2"/>
        <v>2025-12</v>
      </c>
      <c r="V52" s="1" t="str">
        <f t="shared" si="3"/>
        <v>Average</v>
      </c>
      <c r="W52" s="1" t="str">
        <f t="shared" si="4"/>
        <v>Pass</v>
      </c>
      <c r="X52" s="1" t="str">
        <f t="shared" si="5"/>
        <v>Unique</v>
      </c>
    </row>
    <row r="53" spans="1:24" ht="15" customHeight="1">
      <c r="A53" s="1" t="str">
        <f>'Raw Tickets'!$A$53</f>
        <v>T00052</v>
      </c>
      <c r="B53" s="4">
        <f>'Raw Tickets'!$B$53</f>
        <v>45704</v>
      </c>
      <c r="C53" s="1" t="str">
        <f>'Raw Tickets'!$C$53</f>
        <v>A002</v>
      </c>
      <c r="D53" s="1" t="str">
        <f>'Raw Tickets'!$D$53</f>
        <v>Chat</v>
      </c>
      <c r="E53" s="1" t="str">
        <f>'Raw Tickets'!$E$53</f>
        <v>Account Issue</v>
      </c>
      <c r="F53" s="1" t="str">
        <f>'Raw Tickets'!$F$53</f>
        <v>Medium</v>
      </c>
      <c r="G53" s="1">
        <f>'Raw Tickets'!$G$53</f>
        <v>19.600000000000001</v>
      </c>
      <c r="H53" s="1">
        <f>'Raw Tickets'!$H$53</f>
        <v>42</v>
      </c>
      <c r="I53" s="1">
        <f>'Raw Tickets'!$I$53</f>
        <v>4</v>
      </c>
      <c r="J53" s="6">
        <f>'Raw Tickets'!$J$53</f>
        <v>100</v>
      </c>
      <c r="K53" s="1" t="str">
        <f>'Raw Tickets'!$K$53</f>
        <v>Closed</v>
      </c>
      <c r="L53" s="1" t="str">
        <f>'Raw Tickets'!$L$53</f>
        <v>No</v>
      </c>
      <c r="M53" s="1" t="str">
        <f>'Raw Tickets'!$M$53</f>
        <v>No</v>
      </c>
      <c r="N53" s="1" t="str">
        <f>IFERROR(VLOOKUP(C53,Agents!$A$2:$E$26,2,FALSE),"")</f>
        <v>Gaurav Khan</v>
      </c>
      <c r="O53" s="1" t="str">
        <f>IFERROR(INDEX(Agents!$D$2:$D$26,MATCH(C53,Agents!$A$2:$A$26,0)),"")</f>
        <v>Email Support</v>
      </c>
      <c r="P53" s="1" t="str">
        <f>IFERROR(VLOOKUP(C53,Agents!$A$2:$E$26,3,FALSE),"")</f>
        <v>Aman Verma</v>
      </c>
      <c r="Q53" s="1" t="str">
        <f>IFERROR(VLOOKUP(C53,Agents!$A$2:$E$26,5,FALSE),"")</f>
        <v>Noida</v>
      </c>
      <c r="R53" s="1">
        <f>IFERROR(VLOOKUP(F53,#REF!,2,FALSE),0)</f>
        <v>0</v>
      </c>
      <c r="S53" s="1" t="str">
        <f t="shared" si="0"/>
        <v>Breached</v>
      </c>
      <c r="T53" s="1" t="str">
        <f t="shared" si="1"/>
        <v>Late</v>
      </c>
      <c r="U53" s="1" t="str">
        <f t="shared" si="2"/>
        <v>2025-02</v>
      </c>
      <c r="V53" s="1" t="str">
        <f t="shared" si="3"/>
        <v>Good</v>
      </c>
      <c r="W53" s="1" t="str">
        <f t="shared" si="4"/>
        <v>Pass</v>
      </c>
      <c r="X53" s="1" t="str">
        <f t="shared" si="5"/>
        <v>Unique</v>
      </c>
    </row>
    <row r="54" spans="1:24" ht="15" customHeight="1">
      <c r="A54" s="1" t="str">
        <f>'Raw Tickets'!$A$54</f>
        <v>T00053</v>
      </c>
      <c r="B54" s="4">
        <f>'Raw Tickets'!$B$54</f>
        <v>45735</v>
      </c>
      <c r="C54" s="1" t="str">
        <f>'Raw Tickets'!$C$54</f>
        <v>A020</v>
      </c>
      <c r="D54" s="1" t="str">
        <f>'Raw Tickets'!$D$54</f>
        <v>Email</v>
      </c>
      <c r="E54" s="1" t="str">
        <f>'Raw Tickets'!$E$54</f>
        <v>Delivery Delay</v>
      </c>
      <c r="F54" s="1" t="str">
        <f>'Raw Tickets'!$F$54</f>
        <v>Low</v>
      </c>
      <c r="G54" s="1">
        <f>'Raw Tickets'!$G$54</f>
        <v>65.400000000000006</v>
      </c>
      <c r="H54" s="1">
        <f>'Raw Tickets'!$H$54</f>
        <v>31</v>
      </c>
      <c r="I54" s="1">
        <f>'Raw Tickets'!$I$54</f>
        <v>2</v>
      </c>
      <c r="J54" s="6">
        <f>'Raw Tickets'!$J$54</f>
        <v>80.5</v>
      </c>
      <c r="K54" s="1" t="str">
        <f>'Raw Tickets'!$K$54</f>
        <v>Closed</v>
      </c>
      <c r="L54" s="1" t="str">
        <f>'Raw Tickets'!$L$54</f>
        <v>No</v>
      </c>
      <c r="M54" s="1" t="str">
        <f>'Raw Tickets'!$M$54</f>
        <v>No</v>
      </c>
      <c r="N54" s="1" t="str">
        <f>IFERROR(VLOOKUP(C54,Agents!$A$2:$E$26,2,FALSE),"")</f>
        <v>Aditi Bansal</v>
      </c>
      <c r="O54" s="1" t="str">
        <f>IFERROR(INDEX(Agents!$D$2:$D$26,MATCH(C54,Agents!$A$2:$A$26,0)),"")</f>
        <v>Escalations</v>
      </c>
      <c r="P54" s="1" t="str">
        <f>IFERROR(VLOOKUP(C54,Agents!$A$2:$E$26,3,FALSE),"")</f>
        <v>Pallavi Rao</v>
      </c>
      <c r="Q54" s="1" t="str">
        <f>IFERROR(VLOOKUP(C54,Agents!$A$2:$E$26,5,FALSE),"")</f>
        <v>Noida</v>
      </c>
      <c r="R54" s="1">
        <f>IFERROR(VLOOKUP(F54,#REF!,2,FALSE),0)</f>
        <v>0</v>
      </c>
      <c r="S54" s="1" t="str">
        <f t="shared" si="0"/>
        <v>Breached</v>
      </c>
      <c r="T54" s="1" t="str">
        <f t="shared" si="1"/>
        <v>Late</v>
      </c>
      <c r="U54" s="1" t="str">
        <f t="shared" si="2"/>
        <v>2025-03</v>
      </c>
      <c r="V54" s="1" t="str">
        <f t="shared" si="3"/>
        <v>Poor</v>
      </c>
      <c r="W54" s="1" t="str">
        <f t="shared" si="4"/>
        <v>Needs Coaching</v>
      </c>
      <c r="X54" s="1" t="str">
        <f t="shared" si="5"/>
        <v>Unique</v>
      </c>
    </row>
    <row r="55" spans="1:24" ht="15" customHeight="1">
      <c r="A55" s="1" t="str">
        <f>'Raw Tickets'!$A$55</f>
        <v>T00054</v>
      </c>
      <c r="B55" s="4">
        <f>'Raw Tickets'!$B$55</f>
        <v>45875</v>
      </c>
      <c r="C55" s="1" t="str">
        <f>'Raw Tickets'!$C$55</f>
        <v>A025</v>
      </c>
      <c r="D55" s="1" t="str">
        <f>'Raw Tickets'!$D$55</f>
        <v>Chat</v>
      </c>
      <c r="E55" s="1" t="str">
        <f>'Raw Tickets'!$E$55</f>
        <v>Delivery Delay</v>
      </c>
      <c r="F55" s="1" t="str">
        <f>'Raw Tickets'!$F$55</f>
        <v>Low</v>
      </c>
      <c r="G55" s="1">
        <f>'Raw Tickets'!$G$55</f>
        <v>36.799999999999997</v>
      </c>
      <c r="H55" s="1">
        <f>'Raw Tickets'!$H$55</f>
        <v>6</v>
      </c>
      <c r="I55" s="1">
        <f>'Raw Tickets'!$I$55</f>
        <v>2</v>
      </c>
      <c r="J55" s="6">
        <f>'Raw Tickets'!$J$55</f>
        <v>100</v>
      </c>
      <c r="K55" s="1" t="str">
        <f>'Raw Tickets'!$K$55</f>
        <v>Closed</v>
      </c>
      <c r="L55" s="1" t="str">
        <f>'Raw Tickets'!$L$55</f>
        <v>No</v>
      </c>
      <c r="M55" s="1" t="str">
        <f>'Raw Tickets'!$M$55</f>
        <v>No</v>
      </c>
      <c r="N55" s="1" t="str">
        <f>IFERROR(VLOOKUP(C55,Agents!$A$2:$E$26,2,FALSE),"")</f>
        <v>Arjun Nair</v>
      </c>
      <c r="O55" s="1" t="str">
        <f>IFERROR(INDEX(Agents!$D$2:$D$26,MATCH(C55,Agents!$A$2:$A$26,0)),"")</f>
        <v>Seller Support</v>
      </c>
      <c r="P55" s="1" t="str">
        <f>IFERROR(VLOOKUP(C55,Agents!$A$2:$E$26,3,FALSE),"")</f>
        <v>Vivek Jain</v>
      </c>
      <c r="Q55" s="1" t="str">
        <f>IFERROR(VLOOKUP(C55,Agents!$A$2:$E$26,5,FALSE),"")</f>
        <v>Noida</v>
      </c>
      <c r="R55" s="1">
        <f>IFERROR(VLOOKUP(F55,#REF!,2,FALSE),0)</f>
        <v>0</v>
      </c>
      <c r="S55" s="1" t="str">
        <f t="shared" si="0"/>
        <v>Breached</v>
      </c>
      <c r="T55" s="1" t="str">
        <f t="shared" si="1"/>
        <v>Within Target</v>
      </c>
      <c r="U55" s="1" t="str">
        <f t="shared" si="2"/>
        <v>2025-08</v>
      </c>
      <c r="V55" s="1" t="str">
        <f t="shared" si="3"/>
        <v>Poor</v>
      </c>
      <c r="W55" s="1" t="str">
        <f t="shared" si="4"/>
        <v>Pass</v>
      </c>
      <c r="X55" s="1" t="str">
        <f t="shared" si="5"/>
        <v>Unique</v>
      </c>
    </row>
    <row r="56" spans="1:24" ht="15" customHeight="1">
      <c r="A56" s="1" t="str">
        <f>'Raw Tickets'!$A$56</f>
        <v>T00055</v>
      </c>
      <c r="B56" s="4">
        <f>'Raw Tickets'!$B$56</f>
        <v>46010</v>
      </c>
      <c r="C56" s="1" t="str">
        <f>'Raw Tickets'!$C$56</f>
        <v>A002</v>
      </c>
      <c r="D56" s="1" t="str">
        <f>'Raw Tickets'!$D$56</f>
        <v>Call</v>
      </c>
      <c r="E56" s="1" t="str">
        <f>'Raw Tickets'!$E$56</f>
        <v>Account Issue</v>
      </c>
      <c r="F56" s="1" t="str">
        <f>'Raw Tickets'!$F$56</f>
        <v>Medium</v>
      </c>
      <c r="G56" s="1">
        <f>'Raw Tickets'!$G$56</f>
        <v>24.3</v>
      </c>
      <c r="H56" s="1">
        <f>'Raw Tickets'!$H$56</f>
        <v>6</v>
      </c>
      <c r="I56" s="1">
        <f>'Raw Tickets'!$I$56</f>
        <v>5</v>
      </c>
      <c r="J56" s="6">
        <f>'Raw Tickets'!$J$56</f>
        <v>82.3</v>
      </c>
      <c r="K56" s="1" t="str">
        <f>'Raw Tickets'!$K$56</f>
        <v>Closed</v>
      </c>
      <c r="L56" s="1" t="str">
        <f>'Raw Tickets'!$L$56</f>
        <v>No</v>
      </c>
      <c r="M56" s="1" t="str">
        <f>'Raw Tickets'!$M$56</f>
        <v>No</v>
      </c>
      <c r="N56" s="1" t="str">
        <f>IFERROR(VLOOKUP(C56,Agents!$A$2:$E$26,2,FALSE),"")</f>
        <v>Gaurav Khan</v>
      </c>
      <c r="O56" s="1" t="str">
        <f>IFERROR(INDEX(Agents!$D$2:$D$26,MATCH(C56,Agents!$A$2:$A$26,0)),"")</f>
        <v>Email Support</v>
      </c>
      <c r="P56" s="1" t="str">
        <f>IFERROR(VLOOKUP(C56,Agents!$A$2:$E$26,3,FALSE),"")</f>
        <v>Aman Verma</v>
      </c>
      <c r="Q56" s="1" t="str">
        <f>IFERROR(VLOOKUP(C56,Agents!$A$2:$E$26,5,FALSE),"")</f>
        <v>Noida</v>
      </c>
      <c r="R56" s="1">
        <f>IFERROR(VLOOKUP(F56,#REF!,2,FALSE),0)</f>
        <v>0</v>
      </c>
      <c r="S56" s="1" t="str">
        <f t="shared" si="0"/>
        <v>Breached</v>
      </c>
      <c r="T56" s="1" t="str">
        <f t="shared" si="1"/>
        <v>Within Target</v>
      </c>
      <c r="U56" s="1" t="str">
        <f t="shared" si="2"/>
        <v>2025-12</v>
      </c>
      <c r="V56" s="1" t="str">
        <f t="shared" si="3"/>
        <v>Good</v>
      </c>
      <c r="W56" s="1" t="str">
        <f t="shared" si="4"/>
        <v>Needs Coaching</v>
      </c>
      <c r="X56" s="1" t="str">
        <f t="shared" si="5"/>
        <v>Unique</v>
      </c>
    </row>
    <row r="57" spans="1:24" ht="15" customHeight="1">
      <c r="A57" s="1" t="str">
        <f>'Raw Tickets'!$A$57</f>
        <v>T00056</v>
      </c>
      <c r="B57" s="4">
        <f>'Raw Tickets'!$B$57</f>
        <v>45839</v>
      </c>
      <c r="C57" s="1" t="str">
        <f>'Raw Tickets'!$C$57</f>
        <v>A006</v>
      </c>
      <c r="D57" s="1" t="str">
        <f>'Raw Tickets'!$D$57</f>
        <v>Call</v>
      </c>
      <c r="E57" s="1" t="str">
        <f>'Raw Tickets'!$E$57</f>
        <v>Payment Failure</v>
      </c>
      <c r="F57" s="1" t="str">
        <f>'Raw Tickets'!$F$57</f>
        <v>Low</v>
      </c>
      <c r="G57" s="1">
        <f>'Raw Tickets'!$G$57</f>
        <v>57.6</v>
      </c>
      <c r="H57" s="1">
        <f>'Raw Tickets'!$H$57</f>
        <v>45</v>
      </c>
      <c r="I57" s="1">
        <f>'Raw Tickets'!$I$57</f>
        <v>4</v>
      </c>
      <c r="J57" s="6">
        <f>'Raw Tickets'!$J$57</f>
        <v>82.5</v>
      </c>
      <c r="K57" s="1" t="str">
        <f>'Raw Tickets'!$K$57</f>
        <v>Closed</v>
      </c>
      <c r="L57" s="1" t="str">
        <f>'Raw Tickets'!$L$57</f>
        <v>No</v>
      </c>
      <c r="M57" s="1" t="str">
        <f>'Raw Tickets'!$M$57</f>
        <v>No</v>
      </c>
      <c r="N57" s="1" t="str">
        <f>IFERROR(VLOOKUP(C57,Agents!$A$2:$E$26,2,FALSE),"")</f>
        <v>Divya Shah</v>
      </c>
      <c r="O57" s="1" t="str">
        <f>IFERROR(INDEX(Agents!$D$2:$D$26,MATCH(C57,Agents!$A$2:$A$26,0)),"")</f>
        <v>Voice Support</v>
      </c>
      <c r="P57" s="1" t="str">
        <f>IFERROR(VLOOKUP(C57,Agents!$A$2:$E$26,3,FALSE),"")</f>
        <v>Kritika Shah</v>
      </c>
      <c r="Q57" s="1" t="str">
        <f>IFERROR(VLOOKUP(C57,Agents!$A$2:$E$26,5,FALSE),"")</f>
        <v>Gurugram</v>
      </c>
      <c r="R57" s="1">
        <f>IFERROR(VLOOKUP(F57,#REF!,2,FALSE),0)</f>
        <v>0</v>
      </c>
      <c r="S57" s="1" t="str">
        <f t="shared" si="0"/>
        <v>Breached</v>
      </c>
      <c r="T57" s="1" t="str">
        <f t="shared" si="1"/>
        <v>Late</v>
      </c>
      <c r="U57" s="1" t="str">
        <f t="shared" si="2"/>
        <v>2025-07</v>
      </c>
      <c r="V57" s="1" t="str">
        <f t="shared" si="3"/>
        <v>Good</v>
      </c>
      <c r="W57" s="1" t="str">
        <f t="shared" si="4"/>
        <v>Needs Coaching</v>
      </c>
      <c r="X57" s="1" t="str">
        <f t="shared" si="5"/>
        <v>Unique</v>
      </c>
    </row>
    <row r="58" spans="1:24" ht="15" customHeight="1">
      <c r="A58" s="1" t="str">
        <f>'Raw Tickets'!$A$58</f>
        <v>T00057</v>
      </c>
      <c r="B58" s="4">
        <f>'Raw Tickets'!$B$58</f>
        <v>45908</v>
      </c>
      <c r="C58" s="1" t="str">
        <f>'Raw Tickets'!$C$58</f>
        <v>A007</v>
      </c>
      <c r="D58" s="1" t="str">
        <f>'Raw Tickets'!$D$58</f>
        <v>Email</v>
      </c>
      <c r="E58" s="1" t="str">
        <f>'Raw Tickets'!$E$58</f>
        <v>Delivery Delay</v>
      </c>
      <c r="F58" s="1" t="str">
        <f>'Raw Tickets'!$F$58</f>
        <v>Low</v>
      </c>
      <c r="G58" s="1">
        <f>'Raw Tickets'!$G$58</f>
        <v>36.4</v>
      </c>
      <c r="H58" s="1">
        <f>'Raw Tickets'!$H$58</f>
        <v>92</v>
      </c>
      <c r="I58" s="1">
        <f>'Raw Tickets'!$I$58</f>
        <v>1</v>
      </c>
      <c r="J58" s="6">
        <f>'Raw Tickets'!$J$58</f>
        <v>81.8</v>
      </c>
      <c r="K58" s="1" t="str">
        <f>'Raw Tickets'!$K$58</f>
        <v>Closed</v>
      </c>
      <c r="L58" s="1" t="str">
        <f>'Raw Tickets'!$L$58</f>
        <v>No</v>
      </c>
      <c r="M58" s="1" t="str">
        <f>'Raw Tickets'!$M$58</f>
        <v>No</v>
      </c>
      <c r="N58" s="1" t="str">
        <f>IFERROR(VLOOKUP(C58,Agents!$A$2:$E$26,2,FALSE),"")</f>
        <v>Kavya Patel</v>
      </c>
      <c r="O58" s="1" t="str">
        <f>IFERROR(INDEX(Agents!$D$2:$D$26,MATCH(C58,Agents!$A$2:$A$26,0)),"")</f>
        <v>Voice Support</v>
      </c>
      <c r="P58" s="1" t="str">
        <f>IFERROR(VLOOKUP(C58,Agents!$A$2:$E$26,3,FALSE),"")</f>
        <v>Kritika Shah</v>
      </c>
      <c r="Q58" s="1" t="str">
        <f>IFERROR(VLOOKUP(C58,Agents!$A$2:$E$26,5,FALSE),"")</f>
        <v>Noida</v>
      </c>
      <c r="R58" s="1">
        <f>IFERROR(VLOOKUP(F58,#REF!,2,FALSE),0)</f>
        <v>0</v>
      </c>
      <c r="S58" s="1" t="str">
        <f t="shared" si="0"/>
        <v>Breached</v>
      </c>
      <c r="T58" s="1" t="str">
        <f t="shared" si="1"/>
        <v>Late</v>
      </c>
      <c r="U58" s="1" t="str">
        <f t="shared" si="2"/>
        <v>2025-09</v>
      </c>
      <c r="V58" s="1" t="str">
        <f t="shared" si="3"/>
        <v>Poor</v>
      </c>
      <c r="W58" s="1" t="str">
        <f t="shared" si="4"/>
        <v>Needs Coaching</v>
      </c>
      <c r="X58" s="1" t="str">
        <f t="shared" si="5"/>
        <v>Unique</v>
      </c>
    </row>
    <row r="59" spans="1:24" ht="15" customHeight="1">
      <c r="A59" s="1" t="str">
        <f>'Raw Tickets'!$A$59</f>
        <v>T00058</v>
      </c>
      <c r="B59" s="4">
        <f>'Raw Tickets'!$B$59</f>
        <v>45894</v>
      </c>
      <c r="C59" s="1" t="str">
        <f>'Raw Tickets'!$C$59</f>
        <v>A017</v>
      </c>
      <c r="D59" s="1" t="str">
        <f>'Raw Tickets'!$D$59</f>
        <v>Email</v>
      </c>
      <c r="E59" s="1" t="str">
        <f>'Raw Tickets'!$E$59</f>
        <v>Order Cancellation</v>
      </c>
      <c r="F59" s="1" t="str">
        <f>'Raw Tickets'!$F$59</f>
        <v>Low</v>
      </c>
      <c r="G59" s="1">
        <f>'Raw Tickets'!$G$59</f>
        <v>34.799999999999997</v>
      </c>
      <c r="H59" s="1">
        <f>'Raw Tickets'!$H$59</f>
        <v>22</v>
      </c>
      <c r="I59" s="1">
        <f>'Raw Tickets'!$I$59</f>
        <v>4</v>
      </c>
      <c r="J59" s="6">
        <f>'Raw Tickets'!$J$59</f>
        <v>87.3</v>
      </c>
      <c r="K59" s="1" t="str">
        <f>'Raw Tickets'!$K$59</f>
        <v>Closed</v>
      </c>
      <c r="L59" s="1" t="str">
        <f>'Raw Tickets'!$L$59</f>
        <v>No</v>
      </c>
      <c r="M59" s="1" t="str">
        <f>'Raw Tickets'!$M$59</f>
        <v>No</v>
      </c>
      <c r="N59" s="1" t="str">
        <f>IFERROR(VLOOKUP(C59,Agents!$A$2:$E$26,2,FALSE),"")</f>
        <v>Varun Mehta</v>
      </c>
      <c r="O59" s="1" t="str">
        <f>IFERROR(INDEX(Agents!$D$2:$D$26,MATCH(C59,Agents!$A$2:$A$26,0)),"")</f>
        <v>Escalations</v>
      </c>
      <c r="P59" s="1" t="str">
        <f>IFERROR(VLOOKUP(C59,Agents!$A$2:$E$26,3,FALSE),"")</f>
        <v>Pallavi Rao</v>
      </c>
      <c r="Q59" s="1" t="str">
        <f>IFERROR(VLOOKUP(C59,Agents!$A$2:$E$26,5,FALSE),"")</f>
        <v>Gurugram</v>
      </c>
      <c r="R59" s="1">
        <f>IFERROR(VLOOKUP(F59,#REF!,2,FALSE),0)</f>
        <v>0</v>
      </c>
      <c r="S59" s="1" t="str">
        <f t="shared" si="0"/>
        <v>Breached</v>
      </c>
      <c r="T59" s="1" t="str">
        <f t="shared" si="1"/>
        <v>Within Target</v>
      </c>
      <c r="U59" s="1" t="str">
        <f t="shared" si="2"/>
        <v>2025-08</v>
      </c>
      <c r="V59" s="1" t="str">
        <f t="shared" si="3"/>
        <v>Good</v>
      </c>
      <c r="W59" s="1" t="str">
        <f t="shared" si="4"/>
        <v>Pass</v>
      </c>
      <c r="X59" s="1" t="str">
        <f t="shared" si="5"/>
        <v>Unique</v>
      </c>
    </row>
    <row r="60" spans="1:24" ht="15" customHeight="1">
      <c r="A60" s="1" t="str">
        <f>'Raw Tickets'!$A$60</f>
        <v>T00059</v>
      </c>
      <c r="B60" s="4">
        <f>'Raw Tickets'!$B$60</f>
        <v>46000</v>
      </c>
      <c r="C60" s="1" t="str">
        <f>'Raw Tickets'!$C$60</f>
        <v>A015</v>
      </c>
      <c r="D60" s="1" t="str">
        <f>'Raw Tickets'!$D$60</f>
        <v>Call</v>
      </c>
      <c r="E60" s="1" t="str">
        <f>'Raw Tickets'!$E$60</f>
        <v>Product Quality</v>
      </c>
      <c r="F60" s="1" t="str">
        <f>'Raw Tickets'!$F$60</f>
        <v>High</v>
      </c>
      <c r="G60" s="1">
        <f>'Raw Tickets'!$G$60</f>
        <v>3.2</v>
      </c>
      <c r="H60" s="1">
        <f>'Raw Tickets'!$H$60</f>
        <v>17</v>
      </c>
      <c r="I60" s="1">
        <f>'Raw Tickets'!$I$60</f>
        <v>4</v>
      </c>
      <c r="J60" s="6">
        <f>'Raw Tickets'!$J$60</f>
        <v>89.4</v>
      </c>
      <c r="K60" s="1" t="str">
        <f>'Raw Tickets'!$K$60</f>
        <v>Closed</v>
      </c>
      <c r="L60" s="1" t="str">
        <f>'Raw Tickets'!$L$60</f>
        <v>No</v>
      </c>
      <c r="M60" s="1" t="str">
        <f>'Raw Tickets'!$M$60</f>
        <v>No</v>
      </c>
      <c r="N60" s="1" t="str">
        <f>IFERROR(VLOOKUP(C60,Agents!$A$2:$E$26,2,FALSE),"")</f>
        <v>Neha Jain</v>
      </c>
      <c r="O60" s="1" t="str">
        <f>IFERROR(INDEX(Agents!$D$2:$D$26,MATCH(C60,Agents!$A$2:$A$26,0)),"")</f>
        <v>Chat Support</v>
      </c>
      <c r="P60" s="1" t="str">
        <f>IFERROR(VLOOKUP(C60,Agents!$A$2:$E$26,3,FALSE),"")</f>
        <v>Nitin Gupta</v>
      </c>
      <c r="Q60" s="1" t="str">
        <f>IFERROR(VLOOKUP(C60,Agents!$A$2:$E$26,5,FALSE),"")</f>
        <v>Bengaluru</v>
      </c>
      <c r="R60" s="1">
        <f>IFERROR(VLOOKUP(F60,#REF!,2,FALSE),0)</f>
        <v>0</v>
      </c>
      <c r="S60" s="1" t="str">
        <f t="shared" si="0"/>
        <v>Breached</v>
      </c>
      <c r="T60" s="1" t="str">
        <f t="shared" si="1"/>
        <v>Within Target</v>
      </c>
      <c r="U60" s="1" t="str">
        <f t="shared" si="2"/>
        <v>2025-12</v>
      </c>
      <c r="V60" s="1" t="str">
        <f t="shared" si="3"/>
        <v>Good</v>
      </c>
      <c r="W60" s="1" t="str">
        <f t="shared" si="4"/>
        <v>Pass</v>
      </c>
      <c r="X60" s="1" t="str">
        <f t="shared" si="5"/>
        <v>Unique</v>
      </c>
    </row>
    <row r="61" spans="1:24" ht="15" customHeight="1">
      <c r="A61" s="1" t="str">
        <f>'Raw Tickets'!$A$61</f>
        <v>T00060</v>
      </c>
      <c r="B61" s="4">
        <f>'Raw Tickets'!$B$61</f>
        <v>45952</v>
      </c>
      <c r="C61" s="1" t="str">
        <f>'Raw Tickets'!$C$61</f>
        <v>A008</v>
      </c>
      <c r="D61" s="1" t="str">
        <f>'Raw Tickets'!$D$61</f>
        <v>Email</v>
      </c>
      <c r="E61" s="1" t="str">
        <f>'Raw Tickets'!$E$61</f>
        <v>Account Issue</v>
      </c>
      <c r="F61" s="1" t="str">
        <f>'Raw Tickets'!$F$61</f>
        <v>Medium</v>
      </c>
      <c r="G61" s="1">
        <f>'Raw Tickets'!$G$61</f>
        <v>29.1</v>
      </c>
      <c r="H61" s="1">
        <f>'Raw Tickets'!$H$61</f>
        <v>63</v>
      </c>
      <c r="I61" s="1">
        <f>'Raw Tickets'!$I$61</f>
        <v>2</v>
      </c>
      <c r="J61" s="6">
        <f>'Raw Tickets'!$J$61</f>
        <v>79.7</v>
      </c>
      <c r="K61" s="1" t="str">
        <f>'Raw Tickets'!$K$61</f>
        <v>Closed</v>
      </c>
      <c r="L61" s="1" t="str">
        <f>'Raw Tickets'!$L$61</f>
        <v>No</v>
      </c>
      <c r="M61" s="1" t="str">
        <f>'Raw Tickets'!$M$61</f>
        <v>No</v>
      </c>
      <c r="N61" s="1" t="str">
        <f>IFERROR(VLOOKUP(C61,Agents!$A$2:$E$26,2,FALSE),"")</f>
        <v>Ananya Mishra</v>
      </c>
      <c r="O61" s="1" t="str">
        <f>IFERROR(INDEX(Agents!$D$2:$D$26,MATCH(C61,Agents!$A$2:$A$26,0)),"")</f>
        <v>Voice Support</v>
      </c>
      <c r="P61" s="1" t="str">
        <f>IFERROR(VLOOKUP(C61,Agents!$A$2:$E$26,3,FALSE),"")</f>
        <v>Kritika Shah</v>
      </c>
      <c r="Q61" s="1" t="str">
        <f>IFERROR(VLOOKUP(C61,Agents!$A$2:$E$26,5,FALSE),"")</f>
        <v>Hyderabad</v>
      </c>
      <c r="R61" s="1">
        <f>IFERROR(VLOOKUP(F61,#REF!,2,FALSE),0)</f>
        <v>0</v>
      </c>
      <c r="S61" s="1" t="str">
        <f t="shared" si="0"/>
        <v>Breached</v>
      </c>
      <c r="T61" s="1" t="str">
        <f t="shared" si="1"/>
        <v>Late</v>
      </c>
      <c r="U61" s="1" t="str">
        <f t="shared" si="2"/>
        <v>2025-10</v>
      </c>
      <c r="V61" s="1" t="str">
        <f t="shared" si="3"/>
        <v>Poor</v>
      </c>
      <c r="W61" s="1" t="str">
        <f t="shared" si="4"/>
        <v>Needs Coaching</v>
      </c>
      <c r="X61" s="1" t="str">
        <f t="shared" si="5"/>
        <v>Unique</v>
      </c>
    </row>
    <row r="62" spans="1:24" ht="15" customHeight="1">
      <c r="A62" s="1" t="str">
        <f>'Raw Tickets'!$A$62</f>
        <v>T00061</v>
      </c>
      <c r="B62" s="4">
        <f>'Raw Tickets'!$B$62</f>
        <v>45983</v>
      </c>
      <c r="C62" s="1" t="str">
        <f>'Raw Tickets'!$C$62</f>
        <v>A015</v>
      </c>
      <c r="D62" s="1" t="str">
        <f>'Raw Tickets'!$D$62</f>
        <v>Email</v>
      </c>
      <c r="E62" s="1" t="str">
        <f>'Raw Tickets'!$E$62</f>
        <v>Product Quality</v>
      </c>
      <c r="F62" s="1" t="str">
        <f>'Raw Tickets'!$F$62</f>
        <v>Medium</v>
      </c>
      <c r="G62" s="1">
        <f>'Raw Tickets'!$G$62</f>
        <v>25.2</v>
      </c>
      <c r="H62" s="1">
        <f>'Raw Tickets'!$H$62</f>
        <v>44</v>
      </c>
      <c r="I62" s="1">
        <f>'Raw Tickets'!$I$62</f>
        <v>1</v>
      </c>
      <c r="J62" s="6">
        <f>'Raw Tickets'!$J$62</f>
        <v>92.8</v>
      </c>
      <c r="K62" s="1" t="str">
        <f>'Raw Tickets'!$K$62</f>
        <v>Closed</v>
      </c>
      <c r="L62" s="1" t="str">
        <f>'Raw Tickets'!$L$62</f>
        <v>No</v>
      </c>
      <c r="M62" s="1" t="str">
        <f>'Raw Tickets'!$M$62</f>
        <v>No</v>
      </c>
      <c r="N62" s="1" t="str">
        <f>IFERROR(VLOOKUP(C62,Agents!$A$2:$E$26,2,FALSE),"")</f>
        <v>Neha Jain</v>
      </c>
      <c r="O62" s="1" t="str">
        <f>IFERROR(INDEX(Agents!$D$2:$D$26,MATCH(C62,Agents!$A$2:$A$26,0)),"")</f>
        <v>Chat Support</v>
      </c>
      <c r="P62" s="1" t="str">
        <f>IFERROR(VLOOKUP(C62,Agents!$A$2:$E$26,3,FALSE),"")</f>
        <v>Nitin Gupta</v>
      </c>
      <c r="Q62" s="1" t="str">
        <f>IFERROR(VLOOKUP(C62,Agents!$A$2:$E$26,5,FALSE),"")</f>
        <v>Bengaluru</v>
      </c>
      <c r="R62" s="1">
        <f>IFERROR(VLOOKUP(F62,#REF!,2,FALSE),0)</f>
        <v>0</v>
      </c>
      <c r="S62" s="1" t="str">
        <f t="shared" si="0"/>
        <v>Breached</v>
      </c>
      <c r="T62" s="1" t="str">
        <f t="shared" si="1"/>
        <v>Late</v>
      </c>
      <c r="U62" s="1" t="str">
        <f t="shared" si="2"/>
        <v>2025-11</v>
      </c>
      <c r="V62" s="1" t="str">
        <f t="shared" si="3"/>
        <v>Poor</v>
      </c>
      <c r="W62" s="1" t="str">
        <f t="shared" si="4"/>
        <v>Pass</v>
      </c>
      <c r="X62" s="1" t="str">
        <f t="shared" si="5"/>
        <v>Unique</v>
      </c>
    </row>
    <row r="63" spans="1:24" ht="15" customHeight="1">
      <c r="A63" s="1" t="str">
        <f>'Raw Tickets'!$A$63</f>
        <v>T00062</v>
      </c>
      <c r="B63" s="4">
        <f>'Raw Tickets'!$B$63</f>
        <v>45827</v>
      </c>
      <c r="C63" s="1" t="str">
        <f>'Raw Tickets'!$C$63</f>
        <v>A019</v>
      </c>
      <c r="D63" s="1" t="str">
        <f>'Raw Tickets'!$D$63</f>
        <v>Email</v>
      </c>
      <c r="E63" s="1" t="str">
        <f>'Raw Tickets'!$E$63</f>
        <v>Delivery Delay</v>
      </c>
      <c r="F63" s="1" t="str">
        <f>'Raw Tickets'!$F$63</f>
        <v>Low</v>
      </c>
      <c r="G63" s="1">
        <f>'Raw Tickets'!$G$63</f>
        <v>77.7</v>
      </c>
      <c r="H63" s="1">
        <f>'Raw Tickets'!$H$63</f>
        <v>22</v>
      </c>
      <c r="I63" s="1">
        <f>'Raw Tickets'!$I$63</f>
        <v>3</v>
      </c>
      <c r="J63" s="6">
        <f>'Raw Tickets'!$J$63</f>
        <v>94</v>
      </c>
      <c r="K63" s="1" t="str">
        <f>'Raw Tickets'!$K$63</f>
        <v>Closed</v>
      </c>
      <c r="L63" s="1" t="str">
        <f>'Raw Tickets'!$L$63</f>
        <v>No</v>
      </c>
      <c r="M63" s="1" t="str">
        <f>'Raw Tickets'!$M$63</f>
        <v>No</v>
      </c>
      <c r="N63" s="1" t="str">
        <f>IFERROR(VLOOKUP(C63,Agents!$A$2:$E$26,2,FALSE),"")</f>
        <v>Sneha Joshi</v>
      </c>
      <c r="O63" s="1" t="str">
        <f>IFERROR(INDEX(Agents!$D$2:$D$26,MATCH(C63,Agents!$A$2:$A$26,0)),"")</f>
        <v>Escalations</v>
      </c>
      <c r="P63" s="1" t="str">
        <f>IFERROR(VLOOKUP(C63,Agents!$A$2:$E$26,3,FALSE),"")</f>
        <v>Pallavi Rao</v>
      </c>
      <c r="Q63" s="1" t="str">
        <f>IFERROR(VLOOKUP(C63,Agents!$A$2:$E$26,5,FALSE),"")</f>
        <v>Hyderabad</v>
      </c>
      <c r="R63" s="1">
        <f>IFERROR(VLOOKUP(F63,#REF!,2,FALSE),0)</f>
        <v>0</v>
      </c>
      <c r="S63" s="1" t="str">
        <f t="shared" si="0"/>
        <v>Breached</v>
      </c>
      <c r="T63" s="1" t="str">
        <f t="shared" si="1"/>
        <v>Within Target</v>
      </c>
      <c r="U63" s="1" t="str">
        <f t="shared" si="2"/>
        <v>2025-06</v>
      </c>
      <c r="V63" s="1" t="str">
        <f t="shared" si="3"/>
        <v>Average</v>
      </c>
      <c r="W63" s="1" t="str">
        <f t="shared" si="4"/>
        <v>Pass</v>
      </c>
      <c r="X63" s="1" t="str">
        <f t="shared" si="5"/>
        <v>Unique</v>
      </c>
    </row>
    <row r="64" spans="1:24" ht="15" customHeight="1">
      <c r="A64" s="1" t="str">
        <f>'Raw Tickets'!$A$64</f>
        <v>T00063</v>
      </c>
      <c r="B64" s="4">
        <f>'Raw Tickets'!$B$64</f>
        <v>45954</v>
      </c>
      <c r="C64" s="1" t="str">
        <f>'Raw Tickets'!$C$64</f>
        <v>A014</v>
      </c>
      <c r="D64" s="1" t="str">
        <f>'Raw Tickets'!$D$64</f>
        <v>Call</v>
      </c>
      <c r="E64" s="1" t="str">
        <f>'Raw Tickets'!$E$64</f>
        <v>Delivery Delay</v>
      </c>
      <c r="F64" s="1" t="str">
        <f>'Raw Tickets'!$F$64</f>
        <v>Medium</v>
      </c>
      <c r="G64" s="1">
        <f>'Raw Tickets'!$G$64</f>
        <v>23.4</v>
      </c>
      <c r="H64" s="1">
        <f>'Raw Tickets'!$H$64</f>
        <v>19</v>
      </c>
      <c r="I64" s="1">
        <f>'Raw Tickets'!$I$64</f>
        <v>4</v>
      </c>
      <c r="J64" s="6">
        <f>'Raw Tickets'!$J$64</f>
        <v>70</v>
      </c>
      <c r="K64" s="1" t="str">
        <f>'Raw Tickets'!$K$64</f>
        <v>Closed</v>
      </c>
      <c r="L64" s="1" t="str">
        <f>'Raw Tickets'!$L$64</f>
        <v>No</v>
      </c>
      <c r="M64" s="1" t="str">
        <f>'Raw Tickets'!$M$64</f>
        <v>No</v>
      </c>
      <c r="N64" s="1" t="str">
        <f>IFERROR(VLOOKUP(C64,Agents!$A$2:$E$26,2,FALSE),"")</f>
        <v>Ananya Jain</v>
      </c>
      <c r="O64" s="1" t="str">
        <f>IFERROR(INDEX(Agents!$D$2:$D$26,MATCH(C64,Agents!$A$2:$A$26,0)),"")</f>
        <v>Chat Support</v>
      </c>
      <c r="P64" s="1" t="str">
        <f>IFERROR(VLOOKUP(C64,Agents!$A$2:$E$26,3,FALSE),"")</f>
        <v>Nitin Gupta</v>
      </c>
      <c r="Q64" s="1" t="str">
        <f>IFERROR(VLOOKUP(C64,Agents!$A$2:$E$26,5,FALSE),"")</f>
        <v>Bengaluru</v>
      </c>
      <c r="R64" s="1">
        <f>IFERROR(VLOOKUP(F64,#REF!,2,FALSE),0)</f>
        <v>0</v>
      </c>
      <c r="S64" s="1" t="str">
        <f t="shared" si="0"/>
        <v>Breached</v>
      </c>
      <c r="T64" s="1" t="str">
        <f t="shared" si="1"/>
        <v>Within Target</v>
      </c>
      <c r="U64" s="1" t="str">
        <f t="shared" si="2"/>
        <v>2025-10</v>
      </c>
      <c r="V64" s="1" t="str">
        <f t="shared" si="3"/>
        <v>Good</v>
      </c>
      <c r="W64" s="1" t="str">
        <f t="shared" si="4"/>
        <v>Needs Coaching</v>
      </c>
      <c r="X64" s="1" t="str">
        <f t="shared" si="5"/>
        <v>Unique</v>
      </c>
    </row>
    <row r="65" spans="1:24" ht="15" customHeight="1">
      <c r="A65" s="1" t="str">
        <f>'Raw Tickets'!$A$65</f>
        <v>T00064</v>
      </c>
      <c r="B65" s="4">
        <f>'Raw Tickets'!$B$65</f>
        <v>45760</v>
      </c>
      <c r="C65" s="1" t="str">
        <f>'Raw Tickets'!$C$65</f>
        <v>A002</v>
      </c>
      <c r="D65" s="1" t="str">
        <f>'Raw Tickets'!$D$65</f>
        <v>Email</v>
      </c>
      <c r="E65" s="1" t="str">
        <f>'Raw Tickets'!$E$65</f>
        <v>Product Quality</v>
      </c>
      <c r="F65" s="1" t="str">
        <f>'Raw Tickets'!$F$65</f>
        <v>High</v>
      </c>
      <c r="G65" s="1">
        <f>'Raw Tickets'!$G$65</f>
        <v>6.4</v>
      </c>
      <c r="H65" s="1">
        <f>'Raw Tickets'!$H$65</f>
        <v>11</v>
      </c>
      <c r="I65" s="1">
        <f>'Raw Tickets'!$I$65</f>
        <v>2</v>
      </c>
      <c r="J65" s="6">
        <f>'Raw Tickets'!$J$65</f>
        <v>88.8</v>
      </c>
      <c r="K65" s="1" t="str">
        <f>'Raw Tickets'!$K$65</f>
        <v>Closed</v>
      </c>
      <c r="L65" s="1" t="str">
        <f>'Raw Tickets'!$L$65</f>
        <v>Yes</v>
      </c>
      <c r="M65" s="1" t="str">
        <f>'Raw Tickets'!$M$65</f>
        <v>No</v>
      </c>
      <c r="N65" s="1" t="str">
        <f>IFERROR(VLOOKUP(C65,Agents!$A$2:$E$26,2,FALSE),"")</f>
        <v>Gaurav Khan</v>
      </c>
      <c r="O65" s="1" t="str">
        <f>IFERROR(INDEX(Agents!$D$2:$D$26,MATCH(C65,Agents!$A$2:$A$26,0)),"")</f>
        <v>Email Support</v>
      </c>
      <c r="P65" s="1" t="str">
        <f>IFERROR(VLOOKUP(C65,Agents!$A$2:$E$26,3,FALSE),"")</f>
        <v>Aman Verma</v>
      </c>
      <c r="Q65" s="1" t="str">
        <f>IFERROR(VLOOKUP(C65,Agents!$A$2:$E$26,5,FALSE),"")</f>
        <v>Noida</v>
      </c>
      <c r="R65" s="1">
        <f>IFERROR(VLOOKUP(F65,#REF!,2,FALSE),0)</f>
        <v>0</v>
      </c>
      <c r="S65" s="1" t="str">
        <f t="shared" si="0"/>
        <v>Breached</v>
      </c>
      <c r="T65" s="1" t="str">
        <f t="shared" si="1"/>
        <v>Within Target</v>
      </c>
      <c r="U65" s="1" t="str">
        <f t="shared" si="2"/>
        <v>2025-04</v>
      </c>
      <c r="V65" s="1" t="str">
        <f t="shared" si="3"/>
        <v>Poor</v>
      </c>
      <c r="W65" s="1" t="str">
        <f t="shared" si="4"/>
        <v>Pass</v>
      </c>
      <c r="X65" s="1" t="str">
        <f t="shared" si="5"/>
        <v>Unique</v>
      </c>
    </row>
    <row r="66" spans="1:24" ht="15" customHeight="1">
      <c r="A66" s="1" t="str">
        <f>'Raw Tickets'!$A$66</f>
        <v>T00065</v>
      </c>
      <c r="B66" s="4">
        <f>'Raw Tickets'!$B$66</f>
        <v>45740</v>
      </c>
      <c r="C66" s="1" t="str">
        <f>'Raw Tickets'!$C$66</f>
        <v>A013</v>
      </c>
      <c r="D66" s="1" t="str">
        <f>'Raw Tickets'!$D$66</f>
        <v>Chat</v>
      </c>
      <c r="E66" s="1" t="str">
        <f>'Raw Tickets'!$E$66</f>
        <v>Refund</v>
      </c>
      <c r="F66" s="1" t="str">
        <f>'Raw Tickets'!$F$66</f>
        <v>Low</v>
      </c>
      <c r="G66" s="1">
        <f>'Raw Tickets'!$G$66</f>
        <v>17.8</v>
      </c>
      <c r="H66" s="1">
        <f>'Raw Tickets'!$H$66</f>
        <v>33</v>
      </c>
      <c r="I66" s="1">
        <f>'Raw Tickets'!$I$66</f>
        <v>4</v>
      </c>
      <c r="J66" s="6">
        <f>'Raw Tickets'!$J$66</f>
        <v>90.5</v>
      </c>
      <c r="K66" s="1" t="str">
        <f>'Raw Tickets'!$K$66</f>
        <v>Closed</v>
      </c>
      <c r="L66" s="1" t="str">
        <f>'Raw Tickets'!$L$66</f>
        <v>No</v>
      </c>
      <c r="M66" s="1" t="str">
        <f>'Raw Tickets'!$M$66</f>
        <v>No</v>
      </c>
      <c r="N66" s="1" t="str">
        <f>IFERROR(VLOOKUP(C66,Agents!$A$2:$E$26,2,FALSE),"")</f>
        <v>Ananya Jain</v>
      </c>
      <c r="O66" s="1" t="str">
        <f>IFERROR(INDEX(Agents!$D$2:$D$26,MATCH(C66,Agents!$A$2:$A$26,0)),"")</f>
        <v>Chat Support</v>
      </c>
      <c r="P66" s="1" t="str">
        <f>IFERROR(VLOOKUP(C66,Agents!$A$2:$E$26,3,FALSE),"")</f>
        <v>Nitin Gupta</v>
      </c>
      <c r="Q66" s="1" t="str">
        <f>IFERROR(VLOOKUP(C66,Agents!$A$2:$E$26,5,FALSE),"")</f>
        <v>Hyderabad</v>
      </c>
      <c r="R66" s="1">
        <f>IFERROR(VLOOKUP(F66,#REF!,2,FALSE),0)</f>
        <v>0</v>
      </c>
      <c r="S66" s="1" t="str">
        <f t="shared" ref="S66:S129" si="6">IF(G66&lt;=R66,"Met","Breached")</f>
        <v>Breached</v>
      </c>
      <c r="T66" s="1" t="str">
        <f t="shared" ref="T66:T129" si="7">IF(H66&lt;=30,"Within Target","Late")</f>
        <v>Late</v>
      </c>
      <c r="U66" s="1" t="str">
        <f t="shared" ref="U66:U129" si="8">TEXT(B66,"yyyy-mm")</f>
        <v>2025-03</v>
      </c>
      <c r="V66" s="1" t="str">
        <f t="shared" ref="V66:V129" si="9">IF(I66&gt;=4,"Good",IF(I66=3,"Average","Poor"))</f>
        <v>Good</v>
      </c>
      <c r="W66" s="1" t="str">
        <f t="shared" ref="W66:W129" si="10">IF(J66&gt;=85,"Pass","Needs Coaching")</f>
        <v>Pass</v>
      </c>
      <c r="X66" s="1" t="str">
        <f t="shared" ref="X66:X129" si="11">IF(COUNTIF($A$2:$A$501,A66)&gt;1,"Duplicate","Unique")</f>
        <v>Unique</v>
      </c>
    </row>
    <row r="67" spans="1:24" ht="15" customHeight="1">
      <c r="A67" s="1" t="str">
        <f>'Raw Tickets'!$A$67</f>
        <v>T00066</v>
      </c>
      <c r="B67" s="4">
        <f>'Raw Tickets'!$B$67</f>
        <v>45968</v>
      </c>
      <c r="C67" s="1" t="str">
        <f>'Raw Tickets'!$C$67</f>
        <v>A014</v>
      </c>
      <c r="D67" s="1" t="str">
        <f>'Raw Tickets'!$D$67</f>
        <v>Call</v>
      </c>
      <c r="E67" s="1" t="str">
        <f>'Raw Tickets'!$E$67</f>
        <v>Order Cancellation</v>
      </c>
      <c r="F67" s="1" t="str">
        <f>'Raw Tickets'!$F$67</f>
        <v>Critical</v>
      </c>
      <c r="G67" s="1">
        <f>'Raw Tickets'!$G$67</f>
        <v>5.5</v>
      </c>
      <c r="H67" s="1">
        <f>'Raw Tickets'!$H$67</f>
        <v>10</v>
      </c>
      <c r="I67" s="1">
        <f>'Raw Tickets'!$I$67</f>
        <v>5</v>
      </c>
      <c r="J67" s="6">
        <f>'Raw Tickets'!$J$67</f>
        <v>97.7</v>
      </c>
      <c r="K67" s="1" t="str">
        <f>'Raw Tickets'!$K$67</f>
        <v>Closed</v>
      </c>
      <c r="L67" s="1" t="str">
        <f>'Raw Tickets'!$L$67</f>
        <v>No</v>
      </c>
      <c r="M67" s="1" t="str">
        <f>'Raw Tickets'!$M$67</f>
        <v>No</v>
      </c>
      <c r="N67" s="1" t="str">
        <f>IFERROR(VLOOKUP(C67,Agents!$A$2:$E$26,2,FALSE),"")</f>
        <v>Ananya Jain</v>
      </c>
      <c r="O67" s="1" t="str">
        <f>IFERROR(INDEX(Agents!$D$2:$D$26,MATCH(C67,Agents!$A$2:$A$26,0)),"")</f>
        <v>Chat Support</v>
      </c>
      <c r="P67" s="1" t="str">
        <f>IFERROR(VLOOKUP(C67,Agents!$A$2:$E$26,3,FALSE),"")</f>
        <v>Nitin Gupta</v>
      </c>
      <c r="Q67" s="1" t="str">
        <f>IFERROR(VLOOKUP(C67,Agents!$A$2:$E$26,5,FALSE),"")</f>
        <v>Bengaluru</v>
      </c>
      <c r="R67" s="1">
        <f>IFERROR(VLOOKUP(F67,#REF!,2,FALSE),0)</f>
        <v>0</v>
      </c>
      <c r="S67" s="1" t="str">
        <f t="shared" si="6"/>
        <v>Breached</v>
      </c>
      <c r="T67" s="1" t="str">
        <f t="shared" si="7"/>
        <v>Within Target</v>
      </c>
      <c r="U67" s="1" t="str">
        <f t="shared" si="8"/>
        <v>2025-11</v>
      </c>
      <c r="V67" s="1" t="str">
        <f t="shared" si="9"/>
        <v>Good</v>
      </c>
      <c r="W67" s="1" t="str">
        <f t="shared" si="10"/>
        <v>Pass</v>
      </c>
      <c r="X67" s="1" t="str">
        <f t="shared" si="11"/>
        <v>Unique</v>
      </c>
    </row>
    <row r="68" spans="1:24" ht="15" customHeight="1">
      <c r="A68" s="1" t="str">
        <f>'Raw Tickets'!$A$68</f>
        <v>T00067</v>
      </c>
      <c r="B68" s="4">
        <f>'Raw Tickets'!$B$68</f>
        <v>45809</v>
      </c>
      <c r="C68" s="1" t="str">
        <f>'Raw Tickets'!$C$68</f>
        <v>A022</v>
      </c>
      <c r="D68" s="1" t="str">
        <f>'Raw Tickets'!$D$68</f>
        <v>Chat</v>
      </c>
      <c r="E68" s="1" t="str">
        <f>'Raw Tickets'!$E$68</f>
        <v>Order Cancellation</v>
      </c>
      <c r="F68" s="1" t="str">
        <f>'Raw Tickets'!$F$68</f>
        <v>Critical</v>
      </c>
      <c r="G68" s="1">
        <f>'Raw Tickets'!$G$68</f>
        <v>2.9</v>
      </c>
      <c r="H68" s="1">
        <f>'Raw Tickets'!$H$68</f>
        <v>43</v>
      </c>
      <c r="I68" s="1">
        <f>'Raw Tickets'!$I$68</f>
        <v>5</v>
      </c>
      <c r="J68" s="6">
        <f>'Raw Tickets'!$J$68</f>
        <v>95.8</v>
      </c>
      <c r="K68" s="1" t="str">
        <f>'Raw Tickets'!$K$68</f>
        <v>Open</v>
      </c>
      <c r="L68" s="1" t="str">
        <f>'Raw Tickets'!$L$68</f>
        <v>No</v>
      </c>
      <c r="M68" s="1" t="str">
        <f>'Raw Tickets'!$M$68</f>
        <v>Yes</v>
      </c>
      <c r="N68" s="1" t="str">
        <f>IFERROR(VLOOKUP(C68,Agents!$A$2:$E$26,2,FALSE),"")</f>
        <v>Varun Sharma</v>
      </c>
      <c r="O68" s="1" t="str">
        <f>IFERROR(INDEX(Agents!$D$2:$D$26,MATCH(C68,Agents!$A$2:$A$26,0)),"")</f>
        <v>Seller Support</v>
      </c>
      <c r="P68" s="1" t="str">
        <f>IFERROR(VLOOKUP(C68,Agents!$A$2:$E$26,3,FALSE),"")</f>
        <v>Vivek Jain</v>
      </c>
      <c r="Q68" s="1" t="str">
        <f>IFERROR(VLOOKUP(C68,Agents!$A$2:$E$26,5,FALSE),"")</f>
        <v>Noida</v>
      </c>
      <c r="R68" s="1">
        <f>IFERROR(VLOOKUP(F68,#REF!,2,FALSE),0)</f>
        <v>0</v>
      </c>
      <c r="S68" s="1" t="str">
        <f t="shared" si="6"/>
        <v>Breached</v>
      </c>
      <c r="T68" s="1" t="str">
        <f t="shared" si="7"/>
        <v>Late</v>
      </c>
      <c r="U68" s="1" t="str">
        <f t="shared" si="8"/>
        <v>2025-06</v>
      </c>
      <c r="V68" s="1" t="str">
        <f t="shared" si="9"/>
        <v>Good</v>
      </c>
      <c r="W68" s="1" t="str">
        <f t="shared" si="10"/>
        <v>Pass</v>
      </c>
      <c r="X68" s="1" t="str">
        <f t="shared" si="11"/>
        <v>Unique</v>
      </c>
    </row>
    <row r="69" spans="1:24" ht="15" customHeight="1">
      <c r="A69" s="1" t="str">
        <f>'Raw Tickets'!$A$69</f>
        <v>T00068</v>
      </c>
      <c r="B69" s="4">
        <f>'Raw Tickets'!$B$69</f>
        <v>45909</v>
      </c>
      <c r="C69" s="1" t="str">
        <f>'Raw Tickets'!$C$69</f>
        <v>A019</v>
      </c>
      <c r="D69" s="1" t="str">
        <f>'Raw Tickets'!$D$69</f>
        <v>Call</v>
      </c>
      <c r="E69" s="1" t="str">
        <f>'Raw Tickets'!$E$69</f>
        <v>Payment Failure</v>
      </c>
      <c r="F69" s="1" t="str">
        <f>'Raw Tickets'!$F$69</f>
        <v>Medium</v>
      </c>
      <c r="G69" s="1">
        <f>'Raw Tickets'!$G$69</f>
        <v>30.1</v>
      </c>
      <c r="H69" s="1">
        <f>'Raw Tickets'!$H$69</f>
        <v>11</v>
      </c>
      <c r="I69" s="1">
        <f>'Raw Tickets'!$I$69</f>
        <v>4</v>
      </c>
      <c r="J69" s="6">
        <f>'Raw Tickets'!$J$69</f>
        <v>73.5</v>
      </c>
      <c r="K69" s="1" t="str">
        <f>'Raw Tickets'!$K$69</f>
        <v>Closed</v>
      </c>
      <c r="L69" s="1" t="str">
        <f>'Raw Tickets'!$L$69</f>
        <v>No</v>
      </c>
      <c r="M69" s="1" t="str">
        <f>'Raw Tickets'!$M$69</f>
        <v>No</v>
      </c>
      <c r="N69" s="1" t="str">
        <f>IFERROR(VLOOKUP(C69,Agents!$A$2:$E$26,2,FALSE),"")</f>
        <v>Sneha Joshi</v>
      </c>
      <c r="O69" s="1" t="str">
        <f>IFERROR(INDEX(Agents!$D$2:$D$26,MATCH(C69,Agents!$A$2:$A$26,0)),"")</f>
        <v>Escalations</v>
      </c>
      <c r="P69" s="1" t="str">
        <f>IFERROR(VLOOKUP(C69,Agents!$A$2:$E$26,3,FALSE),"")</f>
        <v>Pallavi Rao</v>
      </c>
      <c r="Q69" s="1" t="str">
        <f>IFERROR(VLOOKUP(C69,Agents!$A$2:$E$26,5,FALSE),"")</f>
        <v>Hyderabad</v>
      </c>
      <c r="R69" s="1">
        <f>IFERROR(VLOOKUP(F69,#REF!,2,FALSE),0)</f>
        <v>0</v>
      </c>
      <c r="S69" s="1" t="str">
        <f t="shared" si="6"/>
        <v>Breached</v>
      </c>
      <c r="T69" s="1" t="str">
        <f t="shared" si="7"/>
        <v>Within Target</v>
      </c>
      <c r="U69" s="1" t="str">
        <f t="shared" si="8"/>
        <v>2025-09</v>
      </c>
      <c r="V69" s="1" t="str">
        <f t="shared" si="9"/>
        <v>Good</v>
      </c>
      <c r="W69" s="1" t="str">
        <f t="shared" si="10"/>
        <v>Needs Coaching</v>
      </c>
      <c r="X69" s="1" t="str">
        <f t="shared" si="11"/>
        <v>Unique</v>
      </c>
    </row>
    <row r="70" spans="1:24" ht="15" customHeight="1">
      <c r="A70" s="1" t="str">
        <f>'Raw Tickets'!$A$70</f>
        <v>T00069</v>
      </c>
      <c r="B70" s="4">
        <f>'Raw Tickets'!$B$70</f>
        <v>45731</v>
      </c>
      <c r="C70" s="1" t="str">
        <f>'Raw Tickets'!$C$70</f>
        <v>A014</v>
      </c>
      <c r="D70" s="1" t="str">
        <f>'Raw Tickets'!$D$70</f>
        <v>Chat</v>
      </c>
      <c r="E70" s="1" t="str">
        <f>'Raw Tickets'!$E$70</f>
        <v>Refund</v>
      </c>
      <c r="F70" s="1" t="str">
        <f>'Raw Tickets'!$F$70</f>
        <v>Low</v>
      </c>
      <c r="G70" s="1">
        <f>'Raw Tickets'!$G$70</f>
        <v>32.6</v>
      </c>
      <c r="H70" s="1">
        <f>'Raw Tickets'!$H$70</f>
        <v>30</v>
      </c>
      <c r="I70" s="1">
        <f>'Raw Tickets'!$I$70</f>
        <v>4</v>
      </c>
      <c r="J70" s="6">
        <f>'Raw Tickets'!$J$70</f>
        <v>83.2</v>
      </c>
      <c r="K70" s="1" t="str">
        <f>'Raw Tickets'!$K$70</f>
        <v>Closed</v>
      </c>
      <c r="L70" s="1" t="str">
        <f>'Raw Tickets'!$L$70</f>
        <v>No</v>
      </c>
      <c r="M70" s="1" t="str">
        <f>'Raw Tickets'!$M$70</f>
        <v>No</v>
      </c>
      <c r="N70" s="1" t="str">
        <f>IFERROR(VLOOKUP(C70,Agents!$A$2:$E$26,2,FALSE),"")</f>
        <v>Ananya Jain</v>
      </c>
      <c r="O70" s="1" t="str">
        <f>IFERROR(INDEX(Agents!$D$2:$D$26,MATCH(C70,Agents!$A$2:$A$26,0)),"")</f>
        <v>Chat Support</v>
      </c>
      <c r="P70" s="1" t="str">
        <f>IFERROR(VLOOKUP(C70,Agents!$A$2:$E$26,3,FALSE),"")</f>
        <v>Nitin Gupta</v>
      </c>
      <c r="Q70" s="1" t="str">
        <f>IFERROR(VLOOKUP(C70,Agents!$A$2:$E$26,5,FALSE),"")</f>
        <v>Bengaluru</v>
      </c>
      <c r="R70" s="1">
        <f>IFERROR(VLOOKUP(F70,#REF!,2,FALSE),0)</f>
        <v>0</v>
      </c>
      <c r="S70" s="1" t="str">
        <f t="shared" si="6"/>
        <v>Breached</v>
      </c>
      <c r="T70" s="1" t="str">
        <f t="shared" si="7"/>
        <v>Within Target</v>
      </c>
      <c r="U70" s="1" t="str">
        <f t="shared" si="8"/>
        <v>2025-03</v>
      </c>
      <c r="V70" s="1" t="str">
        <f t="shared" si="9"/>
        <v>Good</v>
      </c>
      <c r="W70" s="1" t="str">
        <f t="shared" si="10"/>
        <v>Needs Coaching</v>
      </c>
      <c r="X70" s="1" t="str">
        <f t="shared" si="11"/>
        <v>Unique</v>
      </c>
    </row>
    <row r="71" spans="1:24" ht="15" customHeight="1">
      <c r="A71" s="1" t="str">
        <f>'Raw Tickets'!$A$71</f>
        <v>T00070</v>
      </c>
      <c r="B71" s="4">
        <f>'Raw Tickets'!$B$71</f>
        <v>45932</v>
      </c>
      <c r="C71" s="1" t="str">
        <f>'Raw Tickets'!$C$71</f>
        <v>A002</v>
      </c>
      <c r="D71" s="1" t="str">
        <f>'Raw Tickets'!$D$71</f>
        <v>Call</v>
      </c>
      <c r="E71" s="1" t="str">
        <f>'Raw Tickets'!$E$71</f>
        <v>Account Issue</v>
      </c>
      <c r="F71" s="1" t="str">
        <f>'Raw Tickets'!$F$71</f>
        <v>Medium</v>
      </c>
      <c r="G71" s="1">
        <f>'Raw Tickets'!$G$71</f>
        <v>15.9</v>
      </c>
      <c r="H71" s="1">
        <f>'Raw Tickets'!$H$71</f>
        <v>34</v>
      </c>
      <c r="I71" s="1">
        <f>'Raw Tickets'!$I$71</f>
        <v>4</v>
      </c>
      <c r="J71" s="6">
        <f>'Raw Tickets'!$J$71</f>
        <v>92.7</v>
      </c>
      <c r="K71" s="1" t="str">
        <f>'Raw Tickets'!$K$71</f>
        <v>Closed</v>
      </c>
      <c r="L71" s="1" t="str">
        <f>'Raw Tickets'!$L$71</f>
        <v>Yes</v>
      </c>
      <c r="M71" s="1" t="str">
        <f>'Raw Tickets'!$M$71</f>
        <v>No</v>
      </c>
      <c r="N71" s="1" t="str">
        <f>IFERROR(VLOOKUP(C71,Agents!$A$2:$E$26,2,FALSE),"")</f>
        <v>Gaurav Khan</v>
      </c>
      <c r="O71" s="1" t="str">
        <f>IFERROR(INDEX(Agents!$D$2:$D$26,MATCH(C71,Agents!$A$2:$A$26,0)),"")</f>
        <v>Email Support</v>
      </c>
      <c r="P71" s="1" t="str">
        <f>IFERROR(VLOOKUP(C71,Agents!$A$2:$E$26,3,FALSE),"")</f>
        <v>Aman Verma</v>
      </c>
      <c r="Q71" s="1" t="str">
        <f>IFERROR(VLOOKUP(C71,Agents!$A$2:$E$26,5,FALSE),"")</f>
        <v>Noida</v>
      </c>
      <c r="R71" s="1">
        <f>IFERROR(VLOOKUP(F71,#REF!,2,FALSE),0)</f>
        <v>0</v>
      </c>
      <c r="S71" s="1" t="str">
        <f t="shared" si="6"/>
        <v>Breached</v>
      </c>
      <c r="T71" s="1" t="str">
        <f t="shared" si="7"/>
        <v>Late</v>
      </c>
      <c r="U71" s="1" t="str">
        <f t="shared" si="8"/>
        <v>2025-10</v>
      </c>
      <c r="V71" s="1" t="str">
        <f t="shared" si="9"/>
        <v>Good</v>
      </c>
      <c r="W71" s="1" t="str">
        <f t="shared" si="10"/>
        <v>Pass</v>
      </c>
      <c r="X71" s="1" t="str">
        <f t="shared" si="11"/>
        <v>Unique</v>
      </c>
    </row>
    <row r="72" spans="1:24" ht="15" customHeight="1">
      <c r="A72" s="1" t="str">
        <f>'Raw Tickets'!$A$72</f>
        <v>T00071</v>
      </c>
      <c r="B72" s="4">
        <f>'Raw Tickets'!$B$72</f>
        <v>45891</v>
      </c>
      <c r="C72" s="1" t="str">
        <f>'Raw Tickets'!$C$72</f>
        <v>A009</v>
      </c>
      <c r="D72" s="1" t="str">
        <f>'Raw Tickets'!$D$72</f>
        <v>Call</v>
      </c>
      <c r="E72" s="1" t="str">
        <f>'Raw Tickets'!$E$72</f>
        <v>Account Issue</v>
      </c>
      <c r="F72" s="1" t="str">
        <f>'Raw Tickets'!$F$72</f>
        <v>Low</v>
      </c>
      <c r="G72" s="1">
        <f>'Raw Tickets'!$G$72</f>
        <v>37.9</v>
      </c>
      <c r="H72" s="1">
        <f>'Raw Tickets'!$H$72</f>
        <v>31</v>
      </c>
      <c r="I72" s="1">
        <f>'Raw Tickets'!$I$72</f>
        <v>1</v>
      </c>
      <c r="J72" s="6">
        <f>'Raw Tickets'!$J$72</f>
        <v>87.8</v>
      </c>
      <c r="K72" s="1" t="str">
        <f>'Raw Tickets'!$K$72</f>
        <v>Closed</v>
      </c>
      <c r="L72" s="1" t="str">
        <f>'Raw Tickets'!$L$72</f>
        <v>No</v>
      </c>
      <c r="M72" s="1" t="str">
        <f>'Raw Tickets'!$M$72</f>
        <v>No</v>
      </c>
      <c r="N72" s="1" t="str">
        <f>IFERROR(VLOOKUP(C72,Agents!$A$2:$E$26,2,FALSE),"")</f>
        <v>Divya Mehta</v>
      </c>
      <c r="O72" s="1" t="str">
        <f>IFERROR(INDEX(Agents!$D$2:$D$26,MATCH(C72,Agents!$A$2:$A$26,0)),"")</f>
        <v>Voice Support</v>
      </c>
      <c r="P72" s="1" t="str">
        <f>IFERROR(VLOOKUP(C72,Agents!$A$2:$E$26,3,FALSE),"")</f>
        <v>Kritika Shah</v>
      </c>
      <c r="Q72" s="1" t="str">
        <f>IFERROR(VLOOKUP(C72,Agents!$A$2:$E$26,5,FALSE),"")</f>
        <v>Gurugram</v>
      </c>
      <c r="R72" s="1">
        <f>IFERROR(VLOOKUP(F72,#REF!,2,FALSE),0)</f>
        <v>0</v>
      </c>
      <c r="S72" s="1" t="str">
        <f t="shared" si="6"/>
        <v>Breached</v>
      </c>
      <c r="T72" s="1" t="str">
        <f t="shared" si="7"/>
        <v>Late</v>
      </c>
      <c r="U72" s="1" t="str">
        <f t="shared" si="8"/>
        <v>2025-08</v>
      </c>
      <c r="V72" s="1" t="str">
        <f t="shared" si="9"/>
        <v>Poor</v>
      </c>
      <c r="W72" s="1" t="str">
        <f t="shared" si="10"/>
        <v>Pass</v>
      </c>
      <c r="X72" s="1" t="str">
        <f t="shared" si="11"/>
        <v>Unique</v>
      </c>
    </row>
    <row r="73" spans="1:24" ht="15" customHeight="1">
      <c r="A73" s="1" t="str">
        <f>'Raw Tickets'!$A$73</f>
        <v>T00072</v>
      </c>
      <c r="B73" s="4">
        <f>'Raw Tickets'!$B$73</f>
        <v>45671</v>
      </c>
      <c r="C73" s="1" t="str">
        <f>'Raw Tickets'!$C$73</f>
        <v>A008</v>
      </c>
      <c r="D73" s="1" t="str">
        <f>'Raw Tickets'!$D$73</f>
        <v>Call</v>
      </c>
      <c r="E73" s="1" t="str">
        <f>'Raw Tickets'!$E$73</f>
        <v>Account Issue</v>
      </c>
      <c r="F73" s="1" t="str">
        <f>'Raw Tickets'!$F$73</f>
        <v>Low</v>
      </c>
      <c r="G73" s="1">
        <f>'Raw Tickets'!$G$73</f>
        <v>47.3</v>
      </c>
      <c r="H73" s="1">
        <f>'Raw Tickets'!$H$73</f>
        <v>47</v>
      </c>
      <c r="I73" s="1">
        <f>'Raw Tickets'!$I$73</f>
        <v>5</v>
      </c>
      <c r="J73" s="6">
        <f>'Raw Tickets'!$J$73</f>
        <v>78.900000000000006</v>
      </c>
      <c r="K73" s="1" t="str">
        <f>'Raw Tickets'!$K$73</f>
        <v>Closed</v>
      </c>
      <c r="L73" s="1" t="str">
        <f>'Raw Tickets'!$L$73</f>
        <v>No</v>
      </c>
      <c r="M73" s="1" t="str">
        <f>'Raw Tickets'!$M$73</f>
        <v>No</v>
      </c>
      <c r="N73" s="1" t="str">
        <f>IFERROR(VLOOKUP(C73,Agents!$A$2:$E$26,2,FALSE),"")</f>
        <v>Ananya Mishra</v>
      </c>
      <c r="O73" s="1" t="str">
        <f>IFERROR(INDEX(Agents!$D$2:$D$26,MATCH(C73,Agents!$A$2:$A$26,0)),"")</f>
        <v>Voice Support</v>
      </c>
      <c r="P73" s="1" t="str">
        <f>IFERROR(VLOOKUP(C73,Agents!$A$2:$E$26,3,FALSE),"")</f>
        <v>Kritika Shah</v>
      </c>
      <c r="Q73" s="1" t="str">
        <f>IFERROR(VLOOKUP(C73,Agents!$A$2:$E$26,5,FALSE),"")</f>
        <v>Hyderabad</v>
      </c>
      <c r="R73" s="1">
        <f>IFERROR(VLOOKUP(F73,#REF!,2,FALSE),0)</f>
        <v>0</v>
      </c>
      <c r="S73" s="1" t="str">
        <f t="shared" si="6"/>
        <v>Breached</v>
      </c>
      <c r="T73" s="1" t="str">
        <f t="shared" si="7"/>
        <v>Late</v>
      </c>
      <c r="U73" s="1" t="str">
        <f t="shared" si="8"/>
        <v>2025-01</v>
      </c>
      <c r="V73" s="1" t="str">
        <f t="shared" si="9"/>
        <v>Good</v>
      </c>
      <c r="W73" s="1" t="str">
        <f t="shared" si="10"/>
        <v>Needs Coaching</v>
      </c>
      <c r="X73" s="1" t="str">
        <f t="shared" si="11"/>
        <v>Unique</v>
      </c>
    </row>
    <row r="74" spans="1:24" ht="15" customHeight="1">
      <c r="A74" s="1" t="str">
        <f>'Raw Tickets'!$A$74</f>
        <v>T00073</v>
      </c>
      <c r="B74" s="4">
        <f>'Raw Tickets'!$B$74</f>
        <v>45747</v>
      </c>
      <c r="C74" s="1" t="str">
        <f>'Raw Tickets'!$C$74</f>
        <v>A012</v>
      </c>
      <c r="D74" s="1" t="str">
        <f>'Raw Tickets'!$D$74</f>
        <v>Chat</v>
      </c>
      <c r="E74" s="1" t="str">
        <f>'Raw Tickets'!$E$74</f>
        <v>Order Cancellation</v>
      </c>
      <c r="F74" s="1" t="str">
        <f>'Raw Tickets'!$F$74</f>
        <v>Low</v>
      </c>
      <c r="G74" s="1">
        <f>'Raw Tickets'!$G$74</f>
        <v>24.1</v>
      </c>
      <c r="H74" s="1">
        <f>'Raw Tickets'!$H$74</f>
        <v>33</v>
      </c>
      <c r="I74" s="1">
        <f>'Raw Tickets'!$I$74</f>
        <v>5</v>
      </c>
      <c r="J74" s="6">
        <f>'Raw Tickets'!$J$74</f>
        <v>79.2</v>
      </c>
      <c r="K74" s="1" t="str">
        <f>'Raw Tickets'!$K$74</f>
        <v>Closed</v>
      </c>
      <c r="L74" s="1" t="str">
        <f>'Raw Tickets'!$L$74</f>
        <v>No</v>
      </c>
      <c r="M74" s="1" t="str">
        <f>'Raw Tickets'!$M$74</f>
        <v>No</v>
      </c>
      <c r="N74" s="1" t="str">
        <f>IFERROR(VLOOKUP(C74,Agents!$A$2:$E$26,2,FALSE),"")</f>
        <v>Ankit Khan</v>
      </c>
      <c r="O74" s="1" t="str">
        <f>IFERROR(INDEX(Agents!$D$2:$D$26,MATCH(C74,Agents!$A$2:$A$26,0)),"")</f>
        <v>Chat Support</v>
      </c>
      <c r="P74" s="1" t="str">
        <f>IFERROR(VLOOKUP(C74,Agents!$A$2:$E$26,3,FALSE),"")</f>
        <v>Nitin Gupta</v>
      </c>
      <c r="Q74" s="1" t="str">
        <f>IFERROR(VLOOKUP(C74,Agents!$A$2:$E$26,5,FALSE),"")</f>
        <v>Bengaluru</v>
      </c>
      <c r="R74" s="1">
        <f>IFERROR(VLOOKUP(F74,#REF!,2,FALSE),0)</f>
        <v>0</v>
      </c>
      <c r="S74" s="1" t="str">
        <f t="shared" si="6"/>
        <v>Breached</v>
      </c>
      <c r="T74" s="1" t="str">
        <f t="shared" si="7"/>
        <v>Late</v>
      </c>
      <c r="U74" s="1" t="str">
        <f t="shared" si="8"/>
        <v>2025-03</v>
      </c>
      <c r="V74" s="1" t="str">
        <f t="shared" si="9"/>
        <v>Good</v>
      </c>
      <c r="W74" s="1" t="str">
        <f t="shared" si="10"/>
        <v>Needs Coaching</v>
      </c>
      <c r="X74" s="1" t="str">
        <f t="shared" si="11"/>
        <v>Unique</v>
      </c>
    </row>
    <row r="75" spans="1:24" ht="15" customHeight="1">
      <c r="A75" s="1" t="str">
        <f>'Raw Tickets'!$A$75</f>
        <v>T00074</v>
      </c>
      <c r="B75" s="4">
        <f>'Raw Tickets'!$B$75</f>
        <v>45716</v>
      </c>
      <c r="C75" s="1" t="str">
        <f>'Raw Tickets'!$C$75</f>
        <v>A001</v>
      </c>
      <c r="D75" s="1" t="str">
        <f>'Raw Tickets'!$D$75</f>
        <v>Email</v>
      </c>
      <c r="E75" s="1" t="str">
        <f>'Raw Tickets'!$E$75</f>
        <v>Refund</v>
      </c>
      <c r="F75" s="1" t="str">
        <f>'Raw Tickets'!$F$75</f>
        <v>High</v>
      </c>
      <c r="G75" s="1">
        <f>'Raw Tickets'!$G$75</f>
        <v>1.4</v>
      </c>
      <c r="H75" s="1">
        <f>'Raw Tickets'!$H$75</f>
        <v>1</v>
      </c>
      <c r="I75" s="1">
        <f>'Raw Tickets'!$I$75</f>
        <v>4</v>
      </c>
      <c r="J75" s="6">
        <f>'Raw Tickets'!$J$75</f>
        <v>90.4</v>
      </c>
      <c r="K75" s="1" t="str">
        <f>'Raw Tickets'!$K$75</f>
        <v>Closed</v>
      </c>
      <c r="L75" s="1" t="str">
        <f>'Raw Tickets'!$L$75</f>
        <v>No</v>
      </c>
      <c r="M75" s="1" t="str">
        <f>'Raw Tickets'!$M$75</f>
        <v>No</v>
      </c>
      <c r="N75" s="1" t="str">
        <f>IFERROR(VLOOKUP(C75,Agents!$A$2:$E$26,2,FALSE),"")</f>
        <v>Ishita Patel</v>
      </c>
      <c r="O75" s="1" t="str">
        <f>IFERROR(INDEX(Agents!$D$2:$D$26,MATCH(C75,Agents!$A$2:$A$26,0)),"")</f>
        <v>Email Support</v>
      </c>
      <c r="P75" s="1" t="str">
        <f>IFERROR(VLOOKUP(C75,Agents!$A$2:$E$26,3,FALSE),"")</f>
        <v>Aman Verma</v>
      </c>
      <c r="Q75" s="1" t="str">
        <f>IFERROR(VLOOKUP(C75,Agents!$A$2:$E$26,5,FALSE),"")</f>
        <v>Gurugram</v>
      </c>
      <c r="R75" s="1">
        <f>IFERROR(VLOOKUP(F75,#REF!,2,FALSE),0)</f>
        <v>0</v>
      </c>
      <c r="S75" s="1" t="str">
        <f t="shared" si="6"/>
        <v>Breached</v>
      </c>
      <c r="T75" s="1" t="str">
        <f t="shared" si="7"/>
        <v>Within Target</v>
      </c>
      <c r="U75" s="1" t="str">
        <f t="shared" si="8"/>
        <v>2025-02</v>
      </c>
      <c r="V75" s="1" t="str">
        <f t="shared" si="9"/>
        <v>Good</v>
      </c>
      <c r="W75" s="1" t="str">
        <f t="shared" si="10"/>
        <v>Pass</v>
      </c>
      <c r="X75" s="1" t="str">
        <f t="shared" si="11"/>
        <v>Unique</v>
      </c>
    </row>
    <row r="76" spans="1:24" ht="15" customHeight="1">
      <c r="A76" s="1" t="str">
        <f>'Raw Tickets'!$A$76</f>
        <v>T00075</v>
      </c>
      <c r="B76" s="4">
        <f>'Raw Tickets'!$B$76</f>
        <v>45849</v>
      </c>
      <c r="C76" s="1" t="str">
        <f>'Raw Tickets'!$C$76</f>
        <v>A018</v>
      </c>
      <c r="D76" s="1" t="str">
        <f>'Raw Tickets'!$D$76</f>
        <v>Chat</v>
      </c>
      <c r="E76" s="1" t="str">
        <f>'Raw Tickets'!$E$76</f>
        <v>Delivery Delay</v>
      </c>
      <c r="F76" s="1" t="str">
        <f>'Raw Tickets'!$F$76</f>
        <v>Medium</v>
      </c>
      <c r="G76" s="1">
        <f>'Raw Tickets'!$G$76</f>
        <v>30.6</v>
      </c>
      <c r="H76" s="1">
        <f>'Raw Tickets'!$H$76</f>
        <v>33</v>
      </c>
      <c r="I76" s="1">
        <f>'Raw Tickets'!$I$76</f>
        <v>2</v>
      </c>
      <c r="J76" s="6">
        <f>'Raw Tickets'!$J$76</f>
        <v>76.3</v>
      </c>
      <c r="K76" s="1" t="str">
        <f>'Raw Tickets'!$K$76</f>
        <v>Open</v>
      </c>
      <c r="L76" s="1" t="str">
        <f>'Raw Tickets'!$L$76</f>
        <v>No</v>
      </c>
      <c r="M76" s="1" t="str">
        <f>'Raw Tickets'!$M$76</f>
        <v>No</v>
      </c>
      <c r="N76" s="1" t="str">
        <f>IFERROR(VLOOKUP(C76,Agents!$A$2:$E$26,2,FALSE),"")</f>
        <v>Rahul Verma</v>
      </c>
      <c r="O76" s="1" t="str">
        <f>IFERROR(INDEX(Agents!$D$2:$D$26,MATCH(C76,Agents!$A$2:$A$26,0)),"")</f>
        <v>Escalations</v>
      </c>
      <c r="P76" s="1" t="str">
        <f>IFERROR(VLOOKUP(C76,Agents!$A$2:$E$26,3,FALSE),"")</f>
        <v>Pallavi Rao</v>
      </c>
      <c r="Q76" s="1" t="str">
        <f>IFERROR(VLOOKUP(C76,Agents!$A$2:$E$26,5,FALSE),"")</f>
        <v>Hyderabad</v>
      </c>
      <c r="R76" s="1">
        <f>IFERROR(VLOOKUP(F76,#REF!,2,FALSE),0)</f>
        <v>0</v>
      </c>
      <c r="S76" s="1" t="str">
        <f t="shared" si="6"/>
        <v>Breached</v>
      </c>
      <c r="T76" s="1" t="str">
        <f t="shared" si="7"/>
        <v>Late</v>
      </c>
      <c r="U76" s="1" t="str">
        <f t="shared" si="8"/>
        <v>2025-07</v>
      </c>
      <c r="V76" s="1" t="str">
        <f t="shared" si="9"/>
        <v>Poor</v>
      </c>
      <c r="W76" s="1" t="str">
        <f t="shared" si="10"/>
        <v>Needs Coaching</v>
      </c>
      <c r="X76" s="1" t="str">
        <f t="shared" si="11"/>
        <v>Unique</v>
      </c>
    </row>
    <row r="77" spans="1:24" ht="15" customHeight="1">
      <c r="A77" s="1" t="str">
        <f>'Raw Tickets'!$A$77</f>
        <v>T00076</v>
      </c>
      <c r="B77" s="4">
        <f>'Raw Tickets'!$B$77</f>
        <v>45908</v>
      </c>
      <c r="C77" s="1" t="str">
        <f>'Raw Tickets'!$C$77</f>
        <v>A007</v>
      </c>
      <c r="D77" s="1" t="str">
        <f>'Raw Tickets'!$D$77</f>
        <v>Email</v>
      </c>
      <c r="E77" s="1" t="str">
        <f>'Raw Tickets'!$E$77</f>
        <v>Delivery Delay</v>
      </c>
      <c r="F77" s="1" t="str">
        <f>'Raw Tickets'!$F$77</f>
        <v>High</v>
      </c>
      <c r="G77" s="1">
        <f>'Raw Tickets'!$G$77</f>
        <v>0.5</v>
      </c>
      <c r="H77" s="1">
        <f>'Raw Tickets'!$H$77</f>
        <v>18</v>
      </c>
      <c r="I77" s="1">
        <f>'Raw Tickets'!$I$77</f>
        <v>5</v>
      </c>
      <c r="J77" s="6">
        <f>'Raw Tickets'!$J$77</f>
        <v>86.4</v>
      </c>
      <c r="K77" s="1" t="str">
        <f>'Raw Tickets'!$K$77</f>
        <v>Closed</v>
      </c>
      <c r="L77" s="1" t="str">
        <f>'Raw Tickets'!$L$77</f>
        <v>No</v>
      </c>
      <c r="M77" s="1" t="str">
        <f>'Raw Tickets'!$M$77</f>
        <v>No</v>
      </c>
      <c r="N77" s="1" t="str">
        <f>IFERROR(VLOOKUP(C77,Agents!$A$2:$E$26,2,FALSE),"")</f>
        <v>Kavya Patel</v>
      </c>
      <c r="O77" s="1" t="str">
        <f>IFERROR(INDEX(Agents!$D$2:$D$26,MATCH(C77,Agents!$A$2:$A$26,0)),"")</f>
        <v>Voice Support</v>
      </c>
      <c r="P77" s="1" t="str">
        <f>IFERROR(VLOOKUP(C77,Agents!$A$2:$E$26,3,FALSE),"")</f>
        <v>Kritika Shah</v>
      </c>
      <c r="Q77" s="1" t="str">
        <f>IFERROR(VLOOKUP(C77,Agents!$A$2:$E$26,5,FALSE),"")</f>
        <v>Noida</v>
      </c>
      <c r="R77" s="1">
        <f>IFERROR(VLOOKUP(F77,#REF!,2,FALSE),0)</f>
        <v>0</v>
      </c>
      <c r="S77" s="1" t="str">
        <f t="shared" si="6"/>
        <v>Breached</v>
      </c>
      <c r="T77" s="1" t="str">
        <f t="shared" si="7"/>
        <v>Within Target</v>
      </c>
      <c r="U77" s="1" t="str">
        <f t="shared" si="8"/>
        <v>2025-09</v>
      </c>
      <c r="V77" s="1" t="str">
        <f t="shared" si="9"/>
        <v>Good</v>
      </c>
      <c r="W77" s="1" t="str">
        <f t="shared" si="10"/>
        <v>Pass</v>
      </c>
      <c r="X77" s="1" t="str">
        <f t="shared" si="11"/>
        <v>Unique</v>
      </c>
    </row>
    <row r="78" spans="1:24" ht="15" customHeight="1">
      <c r="A78" s="1" t="str">
        <f>'Raw Tickets'!$A$78</f>
        <v>T00077</v>
      </c>
      <c r="B78" s="4">
        <f>'Raw Tickets'!$B$78</f>
        <v>45744</v>
      </c>
      <c r="C78" s="1" t="str">
        <f>'Raw Tickets'!$C$78</f>
        <v>A003</v>
      </c>
      <c r="D78" s="1" t="str">
        <f>'Raw Tickets'!$D$78</f>
        <v>Email</v>
      </c>
      <c r="E78" s="1" t="str">
        <f>'Raw Tickets'!$E$78</f>
        <v>Order Cancellation</v>
      </c>
      <c r="F78" s="1" t="str">
        <f>'Raw Tickets'!$F$78</f>
        <v>Low</v>
      </c>
      <c r="G78" s="1">
        <f>'Raw Tickets'!$G$78</f>
        <v>56.9</v>
      </c>
      <c r="H78" s="1">
        <f>'Raw Tickets'!$H$78</f>
        <v>83</v>
      </c>
      <c r="I78" s="1">
        <f>'Raw Tickets'!$I$78</f>
        <v>1</v>
      </c>
      <c r="J78" s="6">
        <f>'Raw Tickets'!$J$78</f>
        <v>75.599999999999994</v>
      </c>
      <c r="K78" s="1" t="str">
        <f>'Raw Tickets'!$K$78</f>
        <v>Closed</v>
      </c>
      <c r="L78" s="1" t="str">
        <f>'Raw Tickets'!$L$78</f>
        <v>No</v>
      </c>
      <c r="M78" s="1" t="str">
        <f>'Raw Tickets'!$M$78</f>
        <v>No</v>
      </c>
      <c r="N78" s="1" t="str">
        <f>IFERROR(VLOOKUP(C78,Agents!$A$2:$E$26,2,FALSE),"")</f>
        <v>Kabir Verma</v>
      </c>
      <c r="O78" s="1" t="str">
        <f>IFERROR(INDEX(Agents!$D$2:$D$26,MATCH(C78,Agents!$A$2:$A$26,0)),"")</f>
        <v>Email Support</v>
      </c>
      <c r="P78" s="1" t="str">
        <f>IFERROR(VLOOKUP(C78,Agents!$A$2:$E$26,3,FALSE),"")</f>
        <v>Aman Verma</v>
      </c>
      <c r="Q78" s="1" t="str">
        <f>IFERROR(VLOOKUP(C78,Agents!$A$2:$E$26,5,FALSE),"")</f>
        <v>Gurugram</v>
      </c>
      <c r="R78" s="1">
        <f>IFERROR(VLOOKUP(F78,#REF!,2,FALSE),0)</f>
        <v>0</v>
      </c>
      <c r="S78" s="1" t="str">
        <f t="shared" si="6"/>
        <v>Breached</v>
      </c>
      <c r="T78" s="1" t="str">
        <f t="shared" si="7"/>
        <v>Late</v>
      </c>
      <c r="U78" s="1" t="str">
        <f t="shared" si="8"/>
        <v>2025-03</v>
      </c>
      <c r="V78" s="1" t="str">
        <f t="shared" si="9"/>
        <v>Poor</v>
      </c>
      <c r="W78" s="1" t="str">
        <f t="shared" si="10"/>
        <v>Needs Coaching</v>
      </c>
      <c r="X78" s="1" t="str">
        <f t="shared" si="11"/>
        <v>Unique</v>
      </c>
    </row>
    <row r="79" spans="1:24" ht="15" customHeight="1">
      <c r="A79" s="1" t="str">
        <f>'Raw Tickets'!$A$79</f>
        <v>T00078</v>
      </c>
      <c r="B79" s="4">
        <f>'Raw Tickets'!$B$79</f>
        <v>45830</v>
      </c>
      <c r="C79" s="1" t="str">
        <f>'Raw Tickets'!$C$79</f>
        <v>A001</v>
      </c>
      <c r="D79" s="1" t="str">
        <f>'Raw Tickets'!$D$79</f>
        <v>Call</v>
      </c>
      <c r="E79" s="1" t="str">
        <f>'Raw Tickets'!$E$79</f>
        <v>Product Quality</v>
      </c>
      <c r="F79" s="1" t="str">
        <f>'Raw Tickets'!$F$79</f>
        <v>Medium</v>
      </c>
      <c r="G79" s="1">
        <f>'Raw Tickets'!$G$79</f>
        <v>23.9</v>
      </c>
      <c r="H79" s="1">
        <f>'Raw Tickets'!$H$79</f>
        <v>57</v>
      </c>
      <c r="I79" s="1">
        <f>'Raw Tickets'!$I$79</f>
        <v>4</v>
      </c>
      <c r="J79" s="6">
        <f>'Raw Tickets'!$J$79</f>
        <v>78.7</v>
      </c>
      <c r="K79" s="1" t="str">
        <f>'Raw Tickets'!$K$79</f>
        <v>Closed</v>
      </c>
      <c r="L79" s="1" t="str">
        <f>'Raw Tickets'!$L$79</f>
        <v>No</v>
      </c>
      <c r="M79" s="1" t="str">
        <f>'Raw Tickets'!$M$79</f>
        <v>No</v>
      </c>
      <c r="N79" s="1" t="str">
        <f>IFERROR(VLOOKUP(C79,Agents!$A$2:$E$26,2,FALSE),"")</f>
        <v>Ishita Patel</v>
      </c>
      <c r="O79" s="1" t="str">
        <f>IFERROR(INDEX(Agents!$D$2:$D$26,MATCH(C79,Agents!$A$2:$A$26,0)),"")</f>
        <v>Email Support</v>
      </c>
      <c r="P79" s="1" t="str">
        <f>IFERROR(VLOOKUP(C79,Agents!$A$2:$E$26,3,FALSE),"")</f>
        <v>Aman Verma</v>
      </c>
      <c r="Q79" s="1" t="str">
        <f>IFERROR(VLOOKUP(C79,Agents!$A$2:$E$26,5,FALSE),"")</f>
        <v>Gurugram</v>
      </c>
      <c r="R79" s="1">
        <f>IFERROR(VLOOKUP(F79,#REF!,2,FALSE),0)</f>
        <v>0</v>
      </c>
      <c r="S79" s="1" t="str">
        <f t="shared" si="6"/>
        <v>Breached</v>
      </c>
      <c r="T79" s="1" t="str">
        <f t="shared" si="7"/>
        <v>Late</v>
      </c>
      <c r="U79" s="1" t="str">
        <f t="shared" si="8"/>
        <v>2025-06</v>
      </c>
      <c r="V79" s="1" t="str">
        <f t="shared" si="9"/>
        <v>Good</v>
      </c>
      <c r="W79" s="1" t="str">
        <f t="shared" si="10"/>
        <v>Needs Coaching</v>
      </c>
      <c r="X79" s="1" t="str">
        <f t="shared" si="11"/>
        <v>Unique</v>
      </c>
    </row>
    <row r="80" spans="1:24" ht="15" customHeight="1">
      <c r="A80" s="1" t="str">
        <f>'Raw Tickets'!$A$80</f>
        <v>T00079</v>
      </c>
      <c r="B80" s="4">
        <f>'Raw Tickets'!$B$80</f>
        <v>45928</v>
      </c>
      <c r="C80" s="1" t="str">
        <f>'Raw Tickets'!$C$80</f>
        <v>A003</v>
      </c>
      <c r="D80" s="1" t="str">
        <f>'Raw Tickets'!$D$80</f>
        <v>Chat</v>
      </c>
      <c r="E80" s="1" t="str">
        <f>'Raw Tickets'!$E$80</f>
        <v>Order Cancellation</v>
      </c>
      <c r="F80" s="1" t="str">
        <f>'Raw Tickets'!$F$80</f>
        <v>Critical</v>
      </c>
      <c r="G80" s="1">
        <f>'Raw Tickets'!$G$80</f>
        <v>3</v>
      </c>
      <c r="H80" s="1">
        <f>'Raw Tickets'!$H$80</f>
        <v>39</v>
      </c>
      <c r="I80" s="1">
        <f>'Raw Tickets'!$I$80</f>
        <v>5</v>
      </c>
      <c r="J80" s="6">
        <f>'Raw Tickets'!$J$80</f>
        <v>100</v>
      </c>
      <c r="K80" s="1" t="str">
        <f>'Raw Tickets'!$K$80</f>
        <v>Closed</v>
      </c>
      <c r="L80" s="1" t="str">
        <f>'Raw Tickets'!$L$80</f>
        <v>No</v>
      </c>
      <c r="M80" s="1" t="str">
        <f>'Raw Tickets'!$M$80</f>
        <v>No</v>
      </c>
      <c r="N80" s="1" t="str">
        <f>IFERROR(VLOOKUP(C80,Agents!$A$2:$E$26,2,FALSE),"")</f>
        <v>Kabir Verma</v>
      </c>
      <c r="O80" s="1" t="str">
        <f>IFERROR(INDEX(Agents!$D$2:$D$26,MATCH(C80,Agents!$A$2:$A$26,0)),"")</f>
        <v>Email Support</v>
      </c>
      <c r="P80" s="1" t="str">
        <f>IFERROR(VLOOKUP(C80,Agents!$A$2:$E$26,3,FALSE),"")</f>
        <v>Aman Verma</v>
      </c>
      <c r="Q80" s="1" t="str">
        <f>IFERROR(VLOOKUP(C80,Agents!$A$2:$E$26,5,FALSE),"")</f>
        <v>Gurugram</v>
      </c>
      <c r="R80" s="1">
        <f>IFERROR(VLOOKUP(F80,#REF!,2,FALSE),0)</f>
        <v>0</v>
      </c>
      <c r="S80" s="1" t="str">
        <f t="shared" si="6"/>
        <v>Breached</v>
      </c>
      <c r="T80" s="1" t="str">
        <f t="shared" si="7"/>
        <v>Late</v>
      </c>
      <c r="U80" s="1" t="str">
        <f t="shared" si="8"/>
        <v>2025-09</v>
      </c>
      <c r="V80" s="1" t="str">
        <f t="shared" si="9"/>
        <v>Good</v>
      </c>
      <c r="W80" s="1" t="str">
        <f t="shared" si="10"/>
        <v>Pass</v>
      </c>
      <c r="X80" s="1" t="str">
        <f t="shared" si="11"/>
        <v>Unique</v>
      </c>
    </row>
    <row r="81" spans="1:24" ht="15" customHeight="1">
      <c r="A81" s="1" t="str">
        <f>'Raw Tickets'!$A$81</f>
        <v>T00080</v>
      </c>
      <c r="B81" s="4">
        <f>'Raw Tickets'!$B$81</f>
        <v>45779</v>
      </c>
      <c r="C81" s="1" t="str">
        <f>'Raw Tickets'!$C$81</f>
        <v>A009</v>
      </c>
      <c r="D81" s="1" t="str">
        <f>'Raw Tickets'!$D$81</f>
        <v>Chat</v>
      </c>
      <c r="E81" s="1" t="str">
        <f>'Raw Tickets'!$E$81</f>
        <v>Product Quality</v>
      </c>
      <c r="F81" s="1" t="str">
        <f>'Raw Tickets'!$F$81</f>
        <v>Medium</v>
      </c>
      <c r="G81" s="1">
        <f>'Raw Tickets'!$G$81</f>
        <v>26.4</v>
      </c>
      <c r="H81" s="1">
        <f>'Raw Tickets'!$H$81</f>
        <v>23</v>
      </c>
      <c r="I81" s="1">
        <f>'Raw Tickets'!$I$81</f>
        <v>5</v>
      </c>
      <c r="J81" s="6">
        <f>'Raw Tickets'!$J$81</f>
        <v>75.5</v>
      </c>
      <c r="K81" s="1" t="str">
        <f>'Raw Tickets'!$K$81</f>
        <v>Closed</v>
      </c>
      <c r="L81" s="1" t="str">
        <f>'Raw Tickets'!$L$81</f>
        <v>No</v>
      </c>
      <c r="M81" s="1" t="str">
        <f>'Raw Tickets'!$M$81</f>
        <v>No</v>
      </c>
      <c r="N81" s="1" t="str">
        <f>IFERROR(VLOOKUP(C81,Agents!$A$2:$E$26,2,FALSE),"")</f>
        <v>Divya Mehta</v>
      </c>
      <c r="O81" s="1" t="str">
        <f>IFERROR(INDEX(Agents!$D$2:$D$26,MATCH(C81,Agents!$A$2:$A$26,0)),"")</f>
        <v>Voice Support</v>
      </c>
      <c r="P81" s="1" t="str">
        <f>IFERROR(VLOOKUP(C81,Agents!$A$2:$E$26,3,FALSE),"")</f>
        <v>Kritika Shah</v>
      </c>
      <c r="Q81" s="1" t="str">
        <f>IFERROR(VLOOKUP(C81,Agents!$A$2:$E$26,5,FALSE),"")</f>
        <v>Gurugram</v>
      </c>
      <c r="R81" s="1">
        <f>IFERROR(VLOOKUP(F81,#REF!,2,FALSE),0)</f>
        <v>0</v>
      </c>
      <c r="S81" s="1" t="str">
        <f t="shared" si="6"/>
        <v>Breached</v>
      </c>
      <c r="T81" s="1" t="str">
        <f t="shared" si="7"/>
        <v>Within Target</v>
      </c>
      <c r="U81" s="1" t="str">
        <f t="shared" si="8"/>
        <v>2025-05</v>
      </c>
      <c r="V81" s="1" t="str">
        <f t="shared" si="9"/>
        <v>Good</v>
      </c>
      <c r="W81" s="1" t="str">
        <f t="shared" si="10"/>
        <v>Needs Coaching</v>
      </c>
      <c r="X81" s="1" t="str">
        <f t="shared" si="11"/>
        <v>Unique</v>
      </c>
    </row>
    <row r="82" spans="1:24" ht="15" customHeight="1">
      <c r="A82" s="1" t="str">
        <f>'Raw Tickets'!$A$82</f>
        <v>T00081</v>
      </c>
      <c r="B82" s="4">
        <f>'Raw Tickets'!$B$82</f>
        <v>45662</v>
      </c>
      <c r="C82" s="1" t="str">
        <f>'Raw Tickets'!$C$82</f>
        <v>A019</v>
      </c>
      <c r="D82" s="1" t="str">
        <f>'Raw Tickets'!$D$82</f>
        <v>Chat</v>
      </c>
      <c r="E82" s="1" t="str">
        <f>'Raw Tickets'!$E$82</f>
        <v>Payment Failure</v>
      </c>
      <c r="F82" s="1" t="str">
        <f>'Raw Tickets'!$F$82</f>
        <v>High</v>
      </c>
      <c r="G82" s="1">
        <f>'Raw Tickets'!$G$82</f>
        <v>7.8</v>
      </c>
      <c r="H82" s="1">
        <f>'Raw Tickets'!$H$82</f>
        <v>60</v>
      </c>
      <c r="I82" s="1">
        <f>'Raw Tickets'!$I$82</f>
        <v>4</v>
      </c>
      <c r="J82" s="6">
        <f>'Raw Tickets'!$J$82</f>
        <v>90.7</v>
      </c>
      <c r="K82" s="1" t="str">
        <f>'Raw Tickets'!$K$82</f>
        <v>Closed</v>
      </c>
      <c r="L82" s="1" t="str">
        <f>'Raw Tickets'!$L$82</f>
        <v>No</v>
      </c>
      <c r="M82" s="1" t="str">
        <f>'Raw Tickets'!$M$82</f>
        <v>No</v>
      </c>
      <c r="N82" s="1" t="str">
        <f>IFERROR(VLOOKUP(C82,Agents!$A$2:$E$26,2,FALSE),"")</f>
        <v>Sneha Joshi</v>
      </c>
      <c r="O82" s="1" t="str">
        <f>IFERROR(INDEX(Agents!$D$2:$D$26,MATCH(C82,Agents!$A$2:$A$26,0)),"")</f>
        <v>Escalations</v>
      </c>
      <c r="P82" s="1" t="str">
        <f>IFERROR(VLOOKUP(C82,Agents!$A$2:$E$26,3,FALSE),"")</f>
        <v>Pallavi Rao</v>
      </c>
      <c r="Q82" s="1" t="str">
        <f>IFERROR(VLOOKUP(C82,Agents!$A$2:$E$26,5,FALSE),"")</f>
        <v>Hyderabad</v>
      </c>
      <c r="R82" s="1">
        <f>IFERROR(VLOOKUP(F82,#REF!,2,FALSE),0)</f>
        <v>0</v>
      </c>
      <c r="S82" s="1" t="str">
        <f t="shared" si="6"/>
        <v>Breached</v>
      </c>
      <c r="T82" s="1" t="str">
        <f t="shared" si="7"/>
        <v>Late</v>
      </c>
      <c r="U82" s="1" t="str">
        <f t="shared" si="8"/>
        <v>2025-01</v>
      </c>
      <c r="V82" s="1" t="str">
        <f t="shared" si="9"/>
        <v>Good</v>
      </c>
      <c r="W82" s="1" t="str">
        <f t="shared" si="10"/>
        <v>Pass</v>
      </c>
      <c r="X82" s="1" t="str">
        <f t="shared" si="11"/>
        <v>Unique</v>
      </c>
    </row>
    <row r="83" spans="1:24" ht="15" customHeight="1">
      <c r="A83" s="1" t="str">
        <f>'Raw Tickets'!$A$83</f>
        <v>T00082</v>
      </c>
      <c r="B83" s="4">
        <f>'Raw Tickets'!$B$83</f>
        <v>45821</v>
      </c>
      <c r="C83" s="1" t="str">
        <f>'Raw Tickets'!$C$83</f>
        <v>A012</v>
      </c>
      <c r="D83" s="1" t="str">
        <f>'Raw Tickets'!$D$83</f>
        <v>Chat</v>
      </c>
      <c r="E83" s="1" t="str">
        <f>'Raw Tickets'!$E$83</f>
        <v>Delivery Delay</v>
      </c>
      <c r="F83" s="1" t="str">
        <f>'Raw Tickets'!$F$83</f>
        <v>Medium</v>
      </c>
      <c r="G83" s="1">
        <f>'Raw Tickets'!$G$83</f>
        <v>23</v>
      </c>
      <c r="H83" s="1">
        <f>'Raw Tickets'!$H$83</f>
        <v>48</v>
      </c>
      <c r="I83" s="1">
        <f>'Raw Tickets'!$I$83</f>
        <v>2</v>
      </c>
      <c r="J83" s="6">
        <f>'Raw Tickets'!$J$83</f>
        <v>93.5</v>
      </c>
      <c r="K83" s="1" t="str">
        <f>'Raw Tickets'!$K$83</f>
        <v>Closed</v>
      </c>
      <c r="L83" s="1" t="str">
        <f>'Raw Tickets'!$L$83</f>
        <v>No</v>
      </c>
      <c r="M83" s="1" t="str">
        <f>'Raw Tickets'!$M$83</f>
        <v>No</v>
      </c>
      <c r="N83" s="1" t="str">
        <f>IFERROR(VLOOKUP(C83,Agents!$A$2:$E$26,2,FALSE),"")</f>
        <v>Ankit Khan</v>
      </c>
      <c r="O83" s="1" t="str">
        <f>IFERROR(INDEX(Agents!$D$2:$D$26,MATCH(C83,Agents!$A$2:$A$26,0)),"")</f>
        <v>Chat Support</v>
      </c>
      <c r="P83" s="1" t="str">
        <f>IFERROR(VLOOKUP(C83,Agents!$A$2:$E$26,3,FALSE),"")</f>
        <v>Nitin Gupta</v>
      </c>
      <c r="Q83" s="1" t="str">
        <f>IFERROR(VLOOKUP(C83,Agents!$A$2:$E$26,5,FALSE),"")</f>
        <v>Bengaluru</v>
      </c>
      <c r="R83" s="1">
        <f>IFERROR(VLOOKUP(F83,#REF!,2,FALSE),0)</f>
        <v>0</v>
      </c>
      <c r="S83" s="1" t="str">
        <f t="shared" si="6"/>
        <v>Breached</v>
      </c>
      <c r="T83" s="1" t="str">
        <f t="shared" si="7"/>
        <v>Late</v>
      </c>
      <c r="U83" s="1" t="str">
        <f t="shared" si="8"/>
        <v>2025-06</v>
      </c>
      <c r="V83" s="1" t="str">
        <f t="shared" si="9"/>
        <v>Poor</v>
      </c>
      <c r="W83" s="1" t="str">
        <f t="shared" si="10"/>
        <v>Pass</v>
      </c>
      <c r="X83" s="1" t="str">
        <f t="shared" si="11"/>
        <v>Unique</v>
      </c>
    </row>
    <row r="84" spans="1:24" ht="15" customHeight="1">
      <c r="A84" s="1" t="str">
        <f>'Raw Tickets'!$A$84</f>
        <v>T00083</v>
      </c>
      <c r="B84" s="4">
        <f>'Raw Tickets'!$B$84</f>
        <v>45858</v>
      </c>
      <c r="C84" s="1" t="str">
        <f>'Raw Tickets'!$C$84</f>
        <v>A025</v>
      </c>
      <c r="D84" s="1" t="str">
        <f>'Raw Tickets'!$D$84</f>
        <v>Email</v>
      </c>
      <c r="E84" s="1" t="str">
        <f>'Raw Tickets'!$E$84</f>
        <v>Payment Failure</v>
      </c>
      <c r="F84" s="1" t="str">
        <f>'Raw Tickets'!$F$84</f>
        <v>Medium</v>
      </c>
      <c r="G84" s="1">
        <f>'Raw Tickets'!$G$84</f>
        <v>32.299999999999997</v>
      </c>
      <c r="H84" s="1">
        <f>'Raw Tickets'!$H$84</f>
        <v>42</v>
      </c>
      <c r="I84" s="1">
        <f>'Raw Tickets'!$I$84</f>
        <v>2</v>
      </c>
      <c r="J84" s="6">
        <f>'Raw Tickets'!$J$84</f>
        <v>79.7</v>
      </c>
      <c r="K84" s="1" t="str">
        <f>'Raw Tickets'!$K$84</f>
        <v>Closed</v>
      </c>
      <c r="L84" s="1" t="str">
        <f>'Raw Tickets'!$L$84</f>
        <v>Yes</v>
      </c>
      <c r="M84" s="1" t="str">
        <f>'Raw Tickets'!$M$84</f>
        <v>No</v>
      </c>
      <c r="N84" s="1" t="str">
        <f>IFERROR(VLOOKUP(C84,Agents!$A$2:$E$26,2,FALSE),"")</f>
        <v>Arjun Nair</v>
      </c>
      <c r="O84" s="1" t="str">
        <f>IFERROR(INDEX(Agents!$D$2:$D$26,MATCH(C84,Agents!$A$2:$A$26,0)),"")</f>
        <v>Seller Support</v>
      </c>
      <c r="P84" s="1" t="str">
        <f>IFERROR(VLOOKUP(C84,Agents!$A$2:$E$26,3,FALSE),"")</f>
        <v>Vivek Jain</v>
      </c>
      <c r="Q84" s="1" t="str">
        <f>IFERROR(VLOOKUP(C84,Agents!$A$2:$E$26,5,FALSE),"")</f>
        <v>Noida</v>
      </c>
      <c r="R84" s="1">
        <f>IFERROR(VLOOKUP(F84,#REF!,2,FALSE),0)</f>
        <v>0</v>
      </c>
      <c r="S84" s="1" t="str">
        <f t="shared" si="6"/>
        <v>Breached</v>
      </c>
      <c r="T84" s="1" t="str">
        <f t="shared" si="7"/>
        <v>Late</v>
      </c>
      <c r="U84" s="1" t="str">
        <f t="shared" si="8"/>
        <v>2025-07</v>
      </c>
      <c r="V84" s="1" t="str">
        <f t="shared" si="9"/>
        <v>Poor</v>
      </c>
      <c r="W84" s="1" t="str">
        <f t="shared" si="10"/>
        <v>Needs Coaching</v>
      </c>
      <c r="X84" s="1" t="str">
        <f t="shared" si="11"/>
        <v>Unique</v>
      </c>
    </row>
    <row r="85" spans="1:24" ht="15" customHeight="1">
      <c r="A85" s="1" t="str">
        <f>'Raw Tickets'!$A$85</f>
        <v>T00084</v>
      </c>
      <c r="B85" s="4">
        <f>'Raw Tickets'!$B$85</f>
        <v>45849</v>
      </c>
      <c r="C85" s="1" t="str">
        <f>'Raw Tickets'!$C$85</f>
        <v>A012</v>
      </c>
      <c r="D85" s="1" t="str">
        <f>'Raw Tickets'!$D$85</f>
        <v>Email</v>
      </c>
      <c r="E85" s="1" t="str">
        <f>'Raw Tickets'!$E$85</f>
        <v>Refund</v>
      </c>
      <c r="F85" s="1" t="str">
        <f>'Raw Tickets'!$F$85</f>
        <v>Low</v>
      </c>
      <c r="G85" s="1">
        <f>'Raw Tickets'!$G$85</f>
        <v>51.7</v>
      </c>
      <c r="H85" s="1">
        <f>'Raw Tickets'!$H$85</f>
        <v>60</v>
      </c>
      <c r="I85" s="1">
        <f>'Raw Tickets'!$I$85</f>
        <v>3</v>
      </c>
      <c r="J85" s="6">
        <f>'Raw Tickets'!$J$85</f>
        <v>86.2</v>
      </c>
      <c r="K85" s="1" t="str">
        <f>'Raw Tickets'!$K$85</f>
        <v>Closed</v>
      </c>
      <c r="L85" s="1" t="str">
        <f>'Raw Tickets'!$L$85</f>
        <v>No</v>
      </c>
      <c r="M85" s="1" t="str">
        <f>'Raw Tickets'!$M$85</f>
        <v>No</v>
      </c>
      <c r="N85" s="1" t="str">
        <f>IFERROR(VLOOKUP(C85,Agents!$A$2:$E$26,2,FALSE),"")</f>
        <v>Ankit Khan</v>
      </c>
      <c r="O85" s="1" t="str">
        <f>IFERROR(INDEX(Agents!$D$2:$D$26,MATCH(C85,Agents!$A$2:$A$26,0)),"")</f>
        <v>Chat Support</v>
      </c>
      <c r="P85" s="1" t="str">
        <f>IFERROR(VLOOKUP(C85,Agents!$A$2:$E$26,3,FALSE),"")</f>
        <v>Nitin Gupta</v>
      </c>
      <c r="Q85" s="1" t="str">
        <f>IFERROR(VLOOKUP(C85,Agents!$A$2:$E$26,5,FALSE),"")</f>
        <v>Bengaluru</v>
      </c>
      <c r="R85" s="1">
        <f>IFERROR(VLOOKUP(F85,#REF!,2,FALSE),0)</f>
        <v>0</v>
      </c>
      <c r="S85" s="1" t="str">
        <f t="shared" si="6"/>
        <v>Breached</v>
      </c>
      <c r="T85" s="1" t="str">
        <f t="shared" si="7"/>
        <v>Late</v>
      </c>
      <c r="U85" s="1" t="str">
        <f t="shared" si="8"/>
        <v>2025-07</v>
      </c>
      <c r="V85" s="1" t="str">
        <f t="shared" si="9"/>
        <v>Average</v>
      </c>
      <c r="W85" s="1" t="str">
        <f t="shared" si="10"/>
        <v>Pass</v>
      </c>
      <c r="X85" s="1" t="str">
        <f t="shared" si="11"/>
        <v>Unique</v>
      </c>
    </row>
    <row r="86" spans="1:24" ht="15" customHeight="1">
      <c r="A86" s="1" t="str">
        <f>'Raw Tickets'!$A$86</f>
        <v>T00085</v>
      </c>
      <c r="B86" s="4">
        <f>'Raw Tickets'!$B$86</f>
        <v>45863</v>
      </c>
      <c r="C86" s="1" t="str">
        <f>'Raw Tickets'!$C$86</f>
        <v>A018</v>
      </c>
      <c r="D86" s="1" t="str">
        <f>'Raw Tickets'!$D$86</f>
        <v>Chat</v>
      </c>
      <c r="E86" s="1" t="str">
        <f>'Raw Tickets'!$E$86</f>
        <v>Product Quality</v>
      </c>
      <c r="F86" s="1" t="str">
        <f>'Raw Tickets'!$F$86</f>
        <v>Medium</v>
      </c>
      <c r="G86" s="1">
        <f>'Raw Tickets'!$G$86</f>
        <v>35.9</v>
      </c>
      <c r="H86" s="1">
        <f>'Raw Tickets'!$H$86</f>
        <v>68</v>
      </c>
      <c r="I86" s="1">
        <f>'Raw Tickets'!$I$86</f>
        <v>4</v>
      </c>
      <c r="J86" s="6">
        <f>'Raw Tickets'!$J$86</f>
        <v>83.3</v>
      </c>
      <c r="K86" s="1" t="str">
        <f>'Raw Tickets'!$K$86</f>
        <v>Closed</v>
      </c>
      <c r="L86" s="1" t="str">
        <f>'Raw Tickets'!$L$86</f>
        <v>No</v>
      </c>
      <c r="M86" s="1" t="str">
        <f>'Raw Tickets'!$M$86</f>
        <v>No</v>
      </c>
      <c r="N86" s="1" t="str">
        <f>IFERROR(VLOOKUP(C86,Agents!$A$2:$E$26,2,FALSE),"")</f>
        <v>Rahul Verma</v>
      </c>
      <c r="O86" s="1" t="str">
        <f>IFERROR(INDEX(Agents!$D$2:$D$26,MATCH(C86,Agents!$A$2:$A$26,0)),"")</f>
        <v>Escalations</v>
      </c>
      <c r="P86" s="1" t="str">
        <f>IFERROR(VLOOKUP(C86,Agents!$A$2:$E$26,3,FALSE),"")</f>
        <v>Pallavi Rao</v>
      </c>
      <c r="Q86" s="1" t="str">
        <f>IFERROR(VLOOKUP(C86,Agents!$A$2:$E$26,5,FALSE),"")</f>
        <v>Hyderabad</v>
      </c>
      <c r="R86" s="1">
        <f>IFERROR(VLOOKUP(F86,#REF!,2,FALSE),0)</f>
        <v>0</v>
      </c>
      <c r="S86" s="1" t="str">
        <f t="shared" si="6"/>
        <v>Breached</v>
      </c>
      <c r="T86" s="1" t="str">
        <f t="shared" si="7"/>
        <v>Late</v>
      </c>
      <c r="U86" s="1" t="str">
        <f t="shared" si="8"/>
        <v>2025-07</v>
      </c>
      <c r="V86" s="1" t="str">
        <f t="shared" si="9"/>
        <v>Good</v>
      </c>
      <c r="W86" s="1" t="str">
        <f t="shared" si="10"/>
        <v>Needs Coaching</v>
      </c>
      <c r="X86" s="1" t="str">
        <f t="shared" si="11"/>
        <v>Unique</v>
      </c>
    </row>
    <row r="87" spans="1:24" ht="15" customHeight="1">
      <c r="A87" s="1" t="str">
        <f>'Raw Tickets'!$A$87</f>
        <v>T00086</v>
      </c>
      <c r="B87" s="4">
        <f>'Raw Tickets'!$B$87</f>
        <v>45721</v>
      </c>
      <c r="C87" s="1" t="str">
        <f>'Raw Tickets'!$C$87</f>
        <v>A010</v>
      </c>
      <c r="D87" s="1" t="str">
        <f>'Raw Tickets'!$D$87</f>
        <v>Call</v>
      </c>
      <c r="E87" s="1" t="str">
        <f>'Raw Tickets'!$E$87</f>
        <v>Product Quality</v>
      </c>
      <c r="F87" s="1" t="str">
        <f>'Raw Tickets'!$F$87</f>
        <v>High</v>
      </c>
      <c r="G87" s="1">
        <f>'Raw Tickets'!$G$87</f>
        <v>14.8</v>
      </c>
      <c r="H87" s="1">
        <f>'Raw Tickets'!$H$87</f>
        <v>23</v>
      </c>
      <c r="I87" s="1">
        <f>'Raw Tickets'!$I$87</f>
        <v>2</v>
      </c>
      <c r="J87" s="6">
        <f>'Raw Tickets'!$J$87</f>
        <v>75.7</v>
      </c>
      <c r="K87" s="1" t="str">
        <f>'Raw Tickets'!$K$87</f>
        <v>Closed</v>
      </c>
      <c r="L87" s="1" t="str">
        <f>'Raw Tickets'!$L$87</f>
        <v>No</v>
      </c>
      <c r="M87" s="1" t="str">
        <f>'Raw Tickets'!$M$87</f>
        <v>No</v>
      </c>
      <c r="N87" s="1" t="str">
        <f>IFERROR(VLOOKUP(C87,Agents!$A$2:$E$26,2,FALSE),"")</f>
        <v>Ananya Gupta</v>
      </c>
      <c r="O87" s="1" t="str">
        <f>IFERROR(INDEX(Agents!$D$2:$D$26,MATCH(C87,Agents!$A$2:$A$26,0)),"")</f>
        <v>Voice Support</v>
      </c>
      <c r="P87" s="1" t="str">
        <f>IFERROR(VLOOKUP(C87,Agents!$A$2:$E$26,3,FALSE),"")</f>
        <v>Kritika Shah</v>
      </c>
      <c r="Q87" s="1" t="str">
        <f>IFERROR(VLOOKUP(C87,Agents!$A$2:$E$26,5,FALSE),"")</f>
        <v>Gurugram</v>
      </c>
      <c r="R87" s="1">
        <f>IFERROR(VLOOKUP(F87,#REF!,2,FALSE),0)</f>
        <v>0</v>
      </c>
      <c r="S87" s="1" t="str">
        <f t="shared" si="6"/>
        <v>Breached</v>
      </c>
      <c r="T87" s="1" t="str">
        <f t="shared" si="7"/>
        <v>Within Target</v>
      </c>
      <c r="U87" s="1" t="str">
        <f t="shared" si="8"/>
        <v>2025-03</v>
      </c>
      <c r="V87" s="1" t="str">
        <f t="shared" si="9"/>
        <v>Poor</v>
      </c>
      <c r="W87" s="1" t="str">
        <f t="shared" si="10"/>
        <v>Needs Coaching</v>
      </c>
      <c r="X87" s="1" t="str">
        <f t="shared" si="11"/>
        <v>Unique</v>
      </c>
    </row>
    <row r="88" spans="1:24" ht="15" customHeight="1">
      <c r="A88" s="1" t="str">
        <f>'Raw Tickets'!$A$88</f>
        <v>T00087</v>
      </c>
      <c r="B88" s="4">
        <f>'Raw Tickets'!$B$88</f>
        <v>45999</v>
      </c>
      <c r="C88" s="1" t="str">
        <f>'Raw Tickets'!$C$88</f>
        <v>A018</v>
      </c>
      <c r="D88" s="1" t="str">
        <f>'Raw Tickets'!$D$88</f>
        <v>Email</v>
      </c>
      <c r="E88" s="1" t="str">
        <f>'Raw Tickets'!$E$88</f>
        <v>Delivery Delay</v>
      </c>
      <c r="F88" s="1" t="str">
        <f>'Raw Tickets'!$F$88</f>
        <v>High</v>
      </c>
      <c r="G88" s="1">
        <f>'Raw Tickets'!$G$88</f>
        <v>14.8</v>
      </c>
      <c r="H88" s="1">
        <f>'Raw Tickets'!$H$88</f>
        <v>51</v>
      </c>
      <c r="I88" s="1">
        <f>'Raw Tickets'!$I$88</f>
        <v>3</v>
      </c>
      <c r="J88" s="6">
        <f>'Raw Tickets'!$J$88</f>
        <v>79.8</v>
      </c>
      <c r="K88" s="1" t="str">
        <f>'Raw Tickets'!$K$88</f>
        <v>Closed</v>
      </c>
      <c r="L88" s="1" t="str">
        <f>'Raw Tickets'!$L$88</f>
        <v>No</v>
      </c>
      <c r="M88" s="1" t="str">
        <f>'Raw Tickets'!$M$88</f>
        <v>No</v>
      </c>
      <c r="N88" s="1" t="str">
        <f>IFERROR(VLOOKUP(C88,Agents!$A$2:$E$26,2,FALSE),"")</f>
        <v>Rahul Verma</v>
      </c>
      <c r="O88" s="1" t="str">
        <f>IFERROR(INDEX(Agents!$D$2:$D$26,MATCH(C88,Agents!$A$2:$A$26,0)),"")</f>
        <v>Escalations</v>
      </c>
      <c r="P88" s="1" t="str">
        <f>IFERROR(VLOOKUP(C88,Agents!$A$2:$E$26,3,FALSE),"")</f>
        <v>Pallavi Rao</v>
      </c>
      <c r="Q88" s="1" t="str">
        <f>IFERROR(VLOOKUP(C88,Agents!$A$2:$E$26,5,FALSE),"")</f>
        <v>Hyderabad</v>
      </c>
      <c r="R88" s="1">
        <f>IFERROR(VLOOKUP(F88,#REF!,2,FALSE),0)</f>
        <v>0</v>
      </c>
      <c r="S88" s="1" t="str">
        <f t="shared" si="6"/>
        <v>Breached</v>
      </c>
      <c r="T88" s="1" t="str">
        <f t="shared" si="7"/>
        <v>Late</v>
      </c>
      <c r="U88" s="1" t="str">
        <f t="shared" si="8"/>
        <v>2025-12</v>
      </c>
      <c r="V88" s="1" t="str">
        <f t="shared" si="9"/>
        <v>Average</v>
      </c>
      <c r="W88" s="1" t="str">
        <f t="shared" si="10"/>
        <v>Needs Coaching</v>
      </c>
      <c r="X88" s="1" t="str">
        <f t="shared" si="11"/>
        <v>Unique</v>
      </c>
    </row>
    <row r="89" spans="1:24" ht="15" customHeight="1">
      <c r="A89" s="1" t="str">
        <f>'Raw Tickets'!$A$89</f>
        <v>T00088</v>
      </c>
      <c r="B89" s="4">
        <f>'Raw Tickets'!$B$89</f>
        <v>45796</v>
      </c>
      <c r="C89" s="1" t="str">
        <f>'Raw Tickets'!$C$89</f>
        <v>A001</v>
      </c>
      <c r="D89" s="1" t="str">
        <f>'Raw Tickets'!$D$89</f>
        <v>Chat</v>
      </c>
      <c r="E89" s="1" t="str">
        <f>'Raw Tickets'!$E$89</f>
        <v>Payment Failure</v>
      </c>
      <c r="F89" s="1" t="str">
        <f>'Raw Tickets'!$F$89</f>
        <v>Low</v>
      </c>
      <c r="G89" s="1">
        <f>'Raw Tickets'!$G$89</f>
        <v>22.9</v>
      </c>
      <c r="H89" s="1">
        <f>'Raw Tickets'!$H$89</f>
        <v>35</v>
      </c>
      <c r="I89" s="1">
        <f>'Raw Tickets'!$I$89</f>
        <v>4</v>
      </c>
      <c r="J89" s="6">
        <f>'Raw Tickets'!$J$89</f>
        <v>75.5</v>
      </c>
      <c r="K89" s="1" t="str">
        <f>'Raw Tickets'!$K$89</f>
        <v>Closed</v>
      </c>
      <c r="L89" s="1" t="str">
        <f>'Raw Tickets'!$L$89</f>
        <v>No</v>
      </c>
      <c r="M89" s="1" t="str">
        <f>'Raw Tickets'!$M$89</f>
        <v>Yes</v>
      </c>
      <c r="N89" s="1" t="str">
        <f>IFERROR(VLOOKUP(C89,Agents!$A$2:$E$26,2,FALSE),"")</f>
        <v>Ishita Patel</v>
      </c>
      <c r="O89" s="1" t="str">
        <f>IFERROR(INDEX(Agents!$D$2:$D$26,MATCH(C89,Agents!$A$2:$A$26,0)),"")</f>
        <v>Email Support</v>
      </c>
      <c r="P89" s="1" t="str">
        <f>IFERROR(VLOOKUP(C89,Agents!$A$2:$E$26,3,FALSE),"")</f>
        <v>Aman Verma</v>
      </c>
      <c r="Q89" s="1" t="str">
        <f>IFERROR(VLOOKUP(C89,Agents!$A$2:$E$26,5,FALSE),"")</f>
        <v>Gurugram</v>
      </c>
      <c r="R89" s="1">
        <f>IFERROR(VLOOKUP(F89,#REF!,2,FALSE),0)</f>
        <v>0</v>
      </c>
      <c r="S89" s="1" t="str">
        <f t="shared" si="6"/>
        <v>Breached</v>
      </c>
      <c r="T89" s="1" t="str">
        <f t="shared" si="7"/>
        <v>Late</v>
      </c>
      <c r="U89" s="1" t="str">
        <f t="shared" si="8"/>
        <v>2025-05</v>
      </c>
      <c r="V89" s="1" t="str">
        <f t="shared" si="9"/>
        <v>Good</v>
      </c>
      <c r="W89" s="1" t="str">
        <f t="shared" si="10"/>
        <v>Needs Coaching</v>
      </c>
      <c r="X89" s="1" t="str">
        <f t="shared" si="11"/>
        <v>Unique</v>
      </c>
    </row>
    <row r="90" spans="1:24" ht="15" customHeight="1">
      <c r="A90" s="1" t="str">
        <f>'Raw Tickets'!$A$90</f>
        <v>T00089</v>
      </c>
      <c r="B90" s="4">
        <f>'Raw Tickets'!$B$90</f>
        <v>45923</v>
      </c>
      <c r="C90" s="1" t="str">
        <f>'Raw Tickets'!$C$90</f>
        <v>A003</v>
      </c>
      <c r="D90" s="1" t="str">
        <f>'Raw Tickets'!$D$90</f>
        <v>Call</v>
      </c>
      <c r="E90" s="1" t="str">
        <f>'Raw Tickets'!$E$90</f>
        <v>Refund</v>
      </c>
      <c r="F90" s="1" t="str">
        <f>'Raw Tickets'!$F$90</f>
        <v>Medium</v>
      </c>
      <c r="G90" s="1">
        <f>'Raw Tickets'!$G$90</f>
        <v>15.4</v>
      </c>
      <c r="H90" s="1">
        <f>'Raw Tickets'!$H$90</f>
        <v>55</v>
      </c>
      <c r="I90" s="1">
        <f>'Raw Tickets'!$I$90</f>
        <v>4</v>
      </c>
      <c r="J90" s="6">
        <f>'Raw Tickets'!$J$90</f>
        <v>93.7</v>
      </c>
      <c r="K90" s="1" t="str">
        <f>'Raw Tickets'!$K$90</f>
        <v>Open</v>
      </c>
      <c r="L90" s="1" t="str">
        <f>'Raw Tickets'!$L$90</f>
        <v>No</v>
      </c>
      <c r="M90" s="1" t="str">
        <f>'Raw Tickets'!$M$90</f>
        <v>No</v>
      </c>
      <c r="N90" s="1" t="str">
        <f>IFERROR(VLOOKUP(C90,Agents!$A$2:$E$26,2,FALSE),"")</f>
        <v>Kabir Verma</v>
      </c>
      <c r="O90" s="1" t="str">
        <f>IFERROR(INDEX(Agents!$D$2:$D$26,MATCH(C90,Agents!$A$2:$A$26,0)),"")</f>
        <v>Email Support</v>
      </c>
      <c r="P90" s="1" t="str">
        <f>IFERROR(VLOOKUP(C90,Agents!$A$2:$E$26,3,FALSE),"")</f>
        <v>Aman Verma</v>
      </c>
      <c r="Q90" s="1" t="str">
        <f>IFERROR(VLOOKUP(C90,Agents!$A$2:$E$26,5,FALSE),"")</f>
        <v>Gurugram</v>
      </c>
      <c r="R90" s="1">
        <f>IFERROR(VLOOKUP(F90,#REF!,2,FALSE),0)</f>
        <v>0</v>
      </c>
      <c r="S90" s="1" t="str">
        <f t="shared" si="6"/>
        <v>Breached</v>
      </c>
      <c r="T90" s="1" t="str">
        <f t="shared" si="7"/>
        <v>Late</v>
      </c>
      <c r="U90" s="1" t="str">
        <f t="shared" si="8"/>
        <v>2025-09</v>
      </c>
      <c r="V90" s="1" t="str">
        <f t="shared" si="9"/>
        <v>Good</v>
      </c>
      <c r="W90" s="1" t="str">
        <f t="shared" si="10"/>
        <v>Pass</v>
      </c>
      <c r="X90" s="1" t="str">
        <f t="shared" si="11"/>
        <v>Unique</v>
      </c>
    </row>
    <row r="91" spans="1:24" ht="15" customHeight="1">
      <c r="A91" s="1" t="str">
        <f>'Raw Tickets'!$A$91</f>
        <v>T00090</v>
      </c>
      <c r="B91" s="4">
        <f>'Raw Tickets'!$B$91</f>
        <v>45868</v>
      </c>
      <c r="C91" s="1" t="str">
        <f>'Raw Tickets'!$C$91</f>
        <v>A016</v>
      </c>
      <c r="D91" s="1" t="str">
        <f>'Raw Tickets'!$D$91</f>
        <v>Email</v>
      </c>
      <c r="E91" s="1" t="str">
        <f>'Raw Tickets'!$E$91</f>
        <v>Payment Failure</v>
      </c>
      <c r="F91" s="1" t="str">
        <f>'Raw Tickets'!$F$91</f>
        <v>High</v>
      </c>
      <c r="G91" s="1">
        <f>'Raw Tickets'!$G$91</f>
        <v>17.5</v>
      </c>
      <c r="H91" s="1">
        <f>'Raw Tickets'!$H$91</f>
        <v>24</v>
      </c>
      <c r="I91" s="1">
        <f>'Raw Tickets'!$I$91</f>
        <v>4</v>
      </c>
      <c r="J91" s="6">
        <f>'Raw Tickets'!$J$91</f>
        <v>89.7</v>
      </c>
      <c r="K91" s="1" t="str">
        <f>'Raw Tickets'!$K$91</f>
        <v>Closed</v>
      </c>
      <c r="L91" s="1" t="str">
        <f>'Raw Tickets'!$L$91</f>
        <v>No</v>
      </c>
      <c r="M91" s="1" t="str">
        <f>'Raw Tickets'!$M$91</f>
        <v>No</v>
      </c>
      <c r="N91" s="1" t="str">
        <f>IFERROR(VLOOKUP(C91,Agents!$A$2:$E$26,2,FALSE),"")</f>
        <v>Pooja Bansal</v>
      </c>
      <c r="O91" s="1" t="str">
        <f>IFERROR(INDEX(Agents!$D$2:$D$26,MATCH(C91,Agents!$A$2:$A$26,0)),"")</f>
        <v>Escalations</v>
      </c>
      <c r="P91" s="1" t="str">
        <f>IFERROR(VLOOKUP(C91,Agents!$A$2:$E$26,3,FALSE),"")</f>
        <v>Pallavi Rao</v>
      </c>
      <c r="Q91" s="1" t="str">
        <f>IFERROR(VLOOKUP(C91,Agents!$A$2:$E$26,5,FALSE),"")</f>
        <v>Hyderabad</v>
      </c>
      <c r="R91" s="1">
        <f>IFERROR(VLOOKUP(F91,#REF!,2,FALSE),0)</f>
        <v>0</v>
      </c>
      <c r="S91" s="1" t="str">
        <f t="shared" si="6"/>
        <v>Breached</v>
      </c>
      <c r="T91" s="1" t="str">
        <f t="shared" si="7"/>
        <v>Within Target</v>
      </c>
      <c r="U91" s="1" t="str">
        <f t="shared" si="8"/>
        <v>2025-07</v>
      </c>
      <c r="V91" s="1" t="str">
        <f t="shared" si="9"/>
        <v>Good</v>
      </c>
      <c r="W91" s="1" t="str">
        <f t="shared" si="10"/>
        <v>Pass</v>
      </c>
      <c r="X91" s="1" t="str">
        <f t="shared" si="11"/>
        <v>Unique</v>
      </c>
    </row>
    <row r="92" spans="1:24" ht="15" customHeight="1">
      <c r="A92" s="1" t="str">
        <f>'Raw Tickets'!$A$92</f>
        <v>T00091</v>
      </c>
      <c r="B92" s="4">
        <f>'Raw Tickets'!$B$92</f>
        <v>45914</v>
      </c>
      <c r="C92" s="1" t="str">
        <f>'Raw Tickets'!$C$92</f>
        <v>A009</v>
      </c>
      <c r="D92" s="1" t="str">
        <f>'Raw Tickets'!$D$92</f>
        <v>Chat</v>
      </c>
      <c r="E92" s="1" t="str">
        <f>'Raw Tickets'!$E$92</f>
        <v>Product Quality</v>
      </c>
      <c r="F92" s="1" t="str">
        <f>'Raw Tickets'!$F$92</f>
        <v>Medium</v>
      </c>
      <c r="G92" s="1">
        <f>'Raw Tickets'!$G$92</f>
        <v>17</v>
      </c>
      <c r="H92" s="1">
        <f>'Raw Tickets'!$H$92</f>
        <v>62</v>
      </c>
      <c r="I92" s="1">
        <f>'Raw Tickets'!$I$92</f>
        <v>5</v>
      </c>
      <c r="J92" s="6">
        <f>'Raw Tickets'!$J$92</f>
        <v>96.5</v>
      </c>
      <c r="K92" s="1" t="str">
        <f>'Raw Tickets'!$K$92</f>
        <v>Closed</v>
      </c>
      <c r="L92" s="1" t="str">
        <f>'Raw Tickets'!$L$92</f>
        <v>No</v>
      </c>
      <c r="M92" s="1" t="str">
        <f>'Raw Tickets'!$M$92</f>
        <v>No</v>
      </c>
      <c r="N92" s="1" t="str">
        <f>IFERROR(VLOOKUP(C92,Agents!$A$2:$E$26,2,FALSE),"")</f>
        <v>Divya Mehta</v>
      </c>
      <c r="O92" s="1" t="str">
        <f>IFERROR(INDEX(Agents!$D$2:$D$26,MATCH(C92,Agents!$A$2:$A$26,0)),"")</f>
        <v>Voice Support</v>
      </c>
      <c r="P92" s="1" t="str">
        <f>IFERROR(VLOOKUP(C92,Agents!$A$2:$E$26,3,FALSE),"")</f>
        <v>Kritika Shah</v>
      </c>
      <c r="Q92" s="1" t="str">
        <f>IFERROR(VLOOKUP(C92,Agents!$A$2:$E$26,5,FALSE),"")</f>
        <v>Gurugram</v>
      </c>
      <c r="R92" s="1">
        <f>IFERROR(VLOOKUP(F92,#REF!,2,FALSE),0)</f>
        <v>0</v>
      </c>
      <c r="S92" s="1" t="str">
        <f t="shared" si="6"/>
        <v>Breached</v>
      </c>
      <c r="T92" s="1" t="str">
        <f t="shared" si="7"/>
        <v>Late</v>
      </c>
      <c r="U92" s="1" t="str">
        <f t="shared" si="8"/>
        <v>2025-09</v>
      </c>
      <c r="V92" s="1" t="str">
        <f t="shared" si="9"/>
        <v>Good</v>
      </c>
      <c r="W92" s="1" t="str">
        <f t="shared" si="10"/>
        <v>Pass</v>
      </c>
      <c r="X92" s="1" t="str">
        <f t="shared" si="11"/>
        <v>Unique</v>
      </c>
    </row>
    <row r="93" spans="1:24" ht="15" customHeight="1">
      <c r="A93" s="1" t="str">
        <f>'Raw Tickets'!$A$93</f>
        <v>T00092</v>
      </c>
      <c r="B93" s="4">
        <f>'Raw Tickets'!$B$93</f>
        <v>45738</v>
      </c>
      <c r="C93" s="1" t="str">
        <f>'Raw Tickets'!$C$93</f>
        <v>A013</v>
      </c>
      <c r="D93" s="1" t="str">
        <f>'Raw Tickets'!$D$93</f>
        <v>Call</v>
      </c>
      <c r="E93" s="1" t="str">
        <f>'Raw Tickets'!$E$93</f>
        <v>Product Quality</v>
      </c>
      <c r="F93" s="1" t="str">
        <f>'Raw Tickets'!$F$93</f>
        <v>Low</v>
      </c>
      <c r="G93" s="1">
        <f>'Raw Tickets'!$G$93</f>
        <v>24.1</v>
      </c>
      <c r="H93" s="1">
        <f>'Raw Tickets'!$H$93</f>
        <v>45</v>
      </c>
      <c r="I93" s="1">
        <f>'Raw Tickets'!$I$93</f>
        <v>4</v>
      </c>
      <c r="J93" s="6">
        <f>'Raw Tickets'!$J$93</f>
        <v>89.3</v>
      </c>
      <c r="K93" s="1" t="str">
        <f>'Raw Tickets'!$K$93</f>
        <v>Closed</v>
      </c>
      <c r="L93" s="1" t="str">
        <f>'Raw Tickets'!$L$93</f>
        <v>Yes</v>
      </c>
      <c r="M93" s="1" t="str">
        <f>'Raw Tickets'!$M$93</f>
        <v>No</v>
      </c>
      <c r="N93" s="1" t="str">
        <f>IFERROR(VLOOKUP(C93,Agents!$A$2:$E$26,2,FALSE),"")</f>
        <v>Ananya Jain</v>
      </c>
      <c r="O93" s="1" t="str">
        <f>IFERROR(INDEX(Agents!$D$2:$D$26,MATCH(C93,Agents!$A$2:$A$26,0)),"")</f>
        <v>Chat Support</v>
      </c>
      <c r="P93" s="1" t="str">
        <f>IFERROR(VLOOKUP(C93,Agents!$A$2:$E$26,3,FALSE),"")</f>
        <v>Nitin Gupta</v>
      </c>
      <c r="Q93" s="1" t="str">
        <f>IFERROR(VLOOKUP(C93,Agents!$A$2:$E$26,5,FALSE),"")</f>
        <v>Hyderabad</v>
      </c>
      <c r="R93" s="1">
        <f>IFERROR(VLOOKUP(F93,#REF!,2,FALSE),0)</f>
        <v>0</v>
      </c>
      <c r="S93" s="1" t="str">
        <f t="shared" si="6"/>
        <v>Breached</v>
      </c>
      <c r="T93" s="1" t="str">
        <f t="shared" si="7"/>
        <v>Late</v>
      </c>
      <c r="U93" s="1" t="str">
        <f t="shared" si="8"/>
        <v>2025-03</v>
      </c>
      <c r="V93" s="1" t="str">
        <f t="shared" si="9"/>
        <v>Good</v>
      </c>
      <c r="W93" s="1" t="str">
        <f t="shared" si="10"/>
        <v>Pass</v>
      </c>
      <c r="X93" s="1" t="str">
        <f t="shared" si="11"/>
        <v>Unique</v>
      </c>
    </row>
    <row r="94" spans="1:24" ht="15" customHeight="1">
      <c r="A94" s="1" t="str">
        <f>'Raw Tickets'!$A$94</f>
        <v>T00093</v>
      </c>
      <c r="B94" s="4">
        <f>'Raw Tickets'!$B$94</f>
        <v>45974</v>
      </c>
      <c r="C94" s="1" t="str">
        <f>'Raw Tickets'!$C$94</f>
        <v>A014</v>
      </c>
      <c r="D94" s="1" t="str">
        <f>'Raw Tickets'!$D$94</f>
        <v>Chat</v>
      </c>
      <c r="E94" s="1" t="str">
        <f>'Raw Tickets'!$E$94</f>
        <v>Order Cancellation</v>
      </c>
      <c r="F94" s="1" t="str">
        <f>'Raw Tickets'!$F$94</f>
        <v>Medium</v>
      </c>
      <c r="G94" s="1">
        <f>'Raw Tickets'!$G$94</f>
        <v>0.5</v>
      </c>
      <c r="H94" s="1">
        <f>'Raw Tickets'!$H$94</f>
        <v>24</v>
      </c>
      <c r="I94" s="1">
        <f>'Raw Tickets'!$I$94</f>
        <v>3</v>
      </c>
      <c r="J94" s="6">
        <f>'Raw Tickets'!$J$94</f>
        <v>100</v>
      </c>
      <c r="K94" s="1" t="str">
        <f>'Raw Tickets'!$K$94</f>
        <v>Closed</v>
      </c>
      <c r="L94" s="1" t="str">
        <f>'Raw Tickets'!$L$94</f>
        <v>Yes</v>
      </c>
      <c r="M94" s="1" t="str">
        <f>'Raw Tickets'!$M$94</f>
        <v>No</v>
      </c>
      <c r="N94" s="1" t="str">
        <f>IFERROR(VLOOKUP(C94,Agents!$A$2:$E$26,2,FALSE),"")</f>
        <v>Ananya Jain</v>
      </c>
      <c r="O94" s="1" t="str">
        <f>IFERROR(INDEX(Agents!$D$2:$D$26,MATCH(C94,Agents!$A$2:$A$26,0)),"")</f>
        <v>Chat Support</v>
      </c>
      <c r="P94" s="1" t="str">
        <f>IFERROR(VLOOKUP(C94,Agents!$A$2:$E$26,3,FALSE),"")</f>
        <v>Nitin Gupta</v>
      </c>
      <c r="Q94" s="1" t="str">
        <f>IFERROR(VLOOKUP(C94,Agents!$A$2:$E$26,5,FALSE),"")</f>
        <v>Bengaluru</v>
      </c>
      <c r="R94" s="1">
        <f>IFERROR(VLOOKUP(F94,#REF!,2,FALSE),0)</f>
        <v>0</v>
      </c>
      <c r="S94" s="1" t="str">
        <f t="shared" si="6"/>
        <v>Breached</v>
      </c>
      <c r="T94" s="1" t="str">
        <f t="shared" si="7"/>
        <v>Within Target</v>
      </c>
      <c r="U94" s="1" t="str">
        <f t="shared" si="8"/>
        <v>2025-11</v>
      </c>
      <c r="V94" s="1" t="str">
        <f t="shared" si="9"/>
        <v>Average</v>
      </c>
      <c r="W94" s="1" t="str">
        <f t="shared" si="10"/>
        <v>Pass</v>
      </c>
      <c r="X94" s="1" t="str">
        <f t="shared" si="11"/>
        <v>Unique</v>
      </c>
    </row>
    <row r="95" spans="1:24" ht="15" customHeight="1">
      <c r="A95" s="1" t="str">
        <f>'Raw Tickets'!$A$95</f>
        <v>T00094</v>
      </c>
      <c r="B95" s="4">
        <f>'Raw Tickets'!$B$95</f>
        <v>45824</v>
      </c>
      <c r="C95" s="1" t="str">
        <f>'Raw Tickets'!$C$95</f>
        <v>A005</v>
      </c>
      <c r="D95" s="1" t="str">
        <f>'Raw Tickets'!$D$95</f>
        <v>Chat</v>
      </c>
      <c r="E95" s="1" t="str">
        <f>'Raw Tickets'!$E$95</f>
        <v>Delivery Delay</v>
      </c>
      <c r="F95" s="1" t="str">
        <f>'Raw Tickets'!$F$95</f>
        <v>High</v>
      </c>
      <c r="G95" s="1">
        <f>'Raw Tickets'!$G$95</f>
        <v>9.9</v>
      </c>
      <c r="H95" s="1">
        <f>'Raw Tickets'!$H$95</f>
        <v>1</v>
      </c>
      <c r="I95" s="1">
        <f>'Raw Tickets'!$I$95</f>
        <v>4</v>
      </c>
      <c r="J95" s="6">
        <f>'Raw Tickets'!$J$95</f>
        <v>84.8</v>
      </c>
      <c r="K95" s="1" t="str">
        <f>'Raw Tickets'!$K$95</f>
        <v>Closed</v>
      </c>
      <c r="L95" s="1" t="str">
        <f>'Raw Tickets'!$L$95</f>
        <v>No</v>
      </c>
      <c r="M95" s="1" t="str">
        <f>'Raw Tickets'!$M$95</f>
        <v>No</v>
      </c>
      <c r="N95" s="1" t="str">
        <f>IFERROR(VLOOKUP(C95,Agents!$A$2:$E$26,2,FALSE),"")</f>
        <v>Aditi Verma</v>
      </c>
      <c r="O95" s="1" t="str">
        <f>IFERROR(INDEX(Agents!$D$2:$D$26,MATCH(C95,Agents!$A$2:$A$26,0)),"")</f>
        <v>Email Support</v>
      </c>
      <c r="P95" s="1" t="str">
        <f>IFERROR(VLOOKUP(C95,Agents!$A$2:$E$26,3,FALSE),"")</f>
        <v>Aman Verma</v>
      </c>
      <c r="Q95" s="1" t="str">
        <f>IFERROR(VLOOKUP(C95,Agents!$A$2:$E$26,5,FALSE),"")</f>
        <v>Gurugram</v>
      </c>
      <c r="R95" s="1">
        <f>IFERROR(VLOOKUP(F95,#REF!,2,FALSE),0)</f>
        <v>0</v>
      </c>
      <c r="S95" s="1" t="str">
        <f t="shared" si="6"/>
        <v>Breached</v>
      </c>
      <c r="T95" s="1" t="str">
        <f t="shared" si="7"/>
        <v>Within Target</v>
      </c>
      <c r="U95" s="1" t="str">
        <f t="shared" si="8"/>
        <v>2025-06</v>
      </c>
      <c r="V95" s="1" t="str">
        <f t="shared" si="9"/>
        <v>Good</v>
      </c>
      <c r="W95" s="1" t="str">
        <f t="shared" si="10"/>
        <v>Needs Coaching</v>
      </c>
      <c r="X95" s="1" t="str">
        <f t="shared" si="11"/>
        <v>Unique</v>
      </c>
    </row>
    <row r="96" spans="1:24" ht="15" customHeight="1">
      <c r="A96" s="1" t="str">
        <f>'Raw Tickets'!$A$96</f>
        <v>T00095</v>
      </c>
      <c r="B96" s="4">
        <f>'Raw Tickets'!$B$96</f>
        <v>45856</v>
      </c>
      <c r="C96" s="1" t="str">
        <f>'Raw Tickets'!$C$96</f>
        <v>A020</v>
      </c>
      <c r="D96" s="1" t="str">
        <f>'Raw Tickets'!$D$96</f>
        <v>Call</v>
      </c>
      <c r="E96" s="1" t="str">
        <f>'Raw Tickets'!$E$96</f>
        <v>Delivery Delay</v>
      </c>
      <c r="F96" s="1" t="str">
        <f>'Raw Tickets'!$F$96</f>
        <v>High</v>
      </c>
      <c r="G96" s="1">
        <f>'Raw Tickets'!$G$96</f>
        <v>3.4</v>
      </c>
      <c r="H96" s="1">
        <f>'Raw Tickets'!$H$96</f>
        <v>42</v>
      </c>
      <c r="I96" s="1">
        <f>'Raw Tickets'!$I$96</f>
        <v>2</v>
      </c>
      <c r="J96" s="6">
        <f>'Raw Tickets'!$J$96</f>
        <v>93.5</v>
      </c>
      <c r="K96" s="1" t="str">
        <f>'Raw Tickets'!$K$96</f>
        <v>Closed</v>
      </c>
      <c r="L96" s="1" t="str">
        <f>'Raw Tickets'!$L$96</f>
        <v>No</v>
      </c>
      <c r="M96" s="1" t="str">
        <f>'Raw Tickets'!$M$96</f>
        <v>No</v>
      </c>
      <c r="N96" s="1" t="str">
        <f>IFERROR(VLOOKUP(C96,Agents!$A$2:$E$26,2,FALSE),"")</f>
        <v>Aditi Bansal</v>
      </c>
      <c r="O96" s="1" t="str">
        <f>IFERROR(INDEX(Agents!$D$2:$D$26,MATCH(C96,Agents!$A$2:$A$26,0)),"")</f>
        <v>Escalations</v>
      </c>
      <c r="P96" s="1" t="str">
        <f>IFERROR(VLOOKUP(C96,Agents!$A$2:$E$26,3,FALSE),"")</f>
        <v>Pallavi Rao</v>
      </c>
      <c r="Q96" s="1" t="str">
        <f>IFERROR(VLOOKUP(C96,Agents!$A$2:$E$26,5,FALSE),"")</f>
        <v>Noida</v>
      </c>
      <c r="R96" s="1">
        <f>IFERROR(VLOOKUP(F96,#REF!,2,FALSE),0)</f>
        <v>0</v>
      </c>
      <c r="S96" s="1" t="str">
        <f t="shared" si="6"/>
        <v>Breached</v>
      </c>
      <c r="T96" s="1" t="str">
        <f t="shared" si="7"/>
        <v>Late</v>
      </c>
      <c r="U96" s="1" t="str">
        <f t="shared" si="8"/>
        <v>2025-07</v>
      </c>
      <c r="V96" s="1" t="str">
        <f t="shared" si="9"/>
        <v>Poor</v>
      </c>
      <c r="W96" s="1" t="str">
        <f t="shared" si="10"/>
        <v>Pass</v>
      </c>
      <c r="X96" s="1" t="str">
        <f t="shared" si="11"/>
        <v>Unique</v>
      </c>
    </row>
    <row r="97" spans="1:24" ht="15" customHeight="1">
      <c r="A97" s="1" t="str">
        <f>'Raw Tickets'!$A$97</f>
        <v>T00096</v>
      </c>
      <c r="B97" s="4">
        <f>'Raw Tickets'!$B$97</f>
        <v>45744</v>
      </c>
      <c r="C97" s="1" t="str">
        <f>'Raw Tickets'!$C$97</f>
        <v>A003</v>
      </c>
      <c r="D97" s="1" t="str">
        <f>'Raw Tickets'!$D$97</f>
        <v>Call</v>
      </c>
      <c r="E97" s="1" t="str">
        <f>'Raw Tickets'!$E$97</f>
        <v>Payment Failure</v>
      </c>
      <c r="F97" s="1" t="str">
        <f>'Raw Tickets'!$F$97</f>
        <v>Medium</v>
      </c>
      <c r="G97" s="1">
        <f>'Raw Tickets'!$G$97</f>
        <v>18.8</v>
      </c>
      <c r="H97" s="1">
        <f>'Raw Tickets'!$H$97</f>
        <v>21</v>
      </c>
      <c r="I97" s="1">
        <f>'Raw Tickets'!$I$97</f>
        <v>3</v>
      </c>
      <c r="J97" s="6">
        <f>'Raw Tickets'!$J$97</f>
        <v>88.6</v>
      </c>
      <c r="K97" s="1" t="str">
        <f>'Raw Tickets'!$K$97</f>
        <v>Closed</v>
      </c>
      <c r="L97" s="1" t="str">
        <f>'Raw Tickets'!$L$97</f>
        <v>No</v>
      </c>
      <c r="M97" s="1" t="str">
        <f>'Raw Tickets'!$M$97</f>
        <v>No</v>
      </c>
      <c r="N97" s="1" t="str">
        <f>IFERROR(VLOOKUP(C97,Agents!$A$2:$E$26,2,FALSE),"")</f>
        <v>Kabir Verma</v>
      </c>
      <c r="O97" s="1" t="str">
        <f>IFERROR(INDEX(Agents!$D$2:$D$26,MATCH(C97,Agents!$A$2:$A$26,0)),"")</f>
        <v>Email Support</v>
      </c>
      <c r="P97" s="1" t="str">
        <f>IFERROR(VLOOKUP(C97,Agents!$A$2:$E$26,3,FALSE),"")</f>
        <v>Aman Verma</v>
      </c>
      <c r="Q97" s="1" t="str">
        <f>IFERROR(VLOOKUP(C97,Agents!$A$2:$E$26,5,FALSE),"")</f>
        <v>Gurugram</v>
      </c>
      <c r="R97" s="1">
        <f>IFERROR(VLOOKUP(F97,#REF!,2,FALSE),0)</f>
        <v>0</v>
      </c>
      <c r="S97" s="1" t="str">
        <f t="shared" si="6"/>
        <v>Breached</v>
      </c>
      <c r="T97" s="1" t="str">
        <f t="shared" si="7"/>
        <v>Within Target</v>
      </c>
      <c r="U97" s="1" t="str">
        <f t="shared" si="8"/>
        <v>2025-03</v>
      </c>
      <c r="V97" s="1" t="str">
        <f t="shared" si="9"/>
        <v>Average</v>
      </c>
      <c r="W97" s="1" t="str">
        <f t="shared" si="10"/>
        <v>Pass</v>
      </c>
      <c r="X97" s="1" t="str">
        <f t="shared" si="11"/>
        <v>Unique</v>
      </c>
    </row>
    <row r="98" spans="1:24" ht="15" customHeight="1">
      <c r="A98" s="1" t="str">
        <f>'Raw Tickets'!$A$98</f>
        <v>T00097</v>
      </c>
      <c r="B98" s="4">
        <f>'Raw Tickets'!$B$98</f>
        <v>45840</v>
      </c>
      <c r="C98" s="1" t="str">
        <f>'Raw Tickets'!$C$98</f>
        <v>A024</v>
      </c>
      <c r="D98" s="1" t="str">
        <f>'Raw Tickets'!$D$98</f>
        <v>Email</v>
      </c>
      <c r="E98" s="1" t="str">
        <f>'Raw Tickets'!$E$98</f>
        <v>Payment Failure</v>
      </c>
      <c r="F98" s="1" t="str">
        <f>'Raw Tickets'!$F$98</f>
        <v>Medium</v>
      </c>
      <c r="G98" s="1">
        <f>'Raw Tickets'!$G$98</f>
        <v>40.700000000000003</v>
      </c>
      <c r="H98" s="1">
        <f>'Raw Tickets'!$H$98</f>
        <v>4</v>
      </c>
      <c r="I98" s="1">
        <f>'Raw Tickets'!$I$98</f>
        <v>3</v>
      </c>
      <c r="J98" s="6">
        <f>'Raw Tickets'!$J$98</f>
        <v>100</v>
      </c>
      <c r="K98" s="1" t="str">
        <f>'Raw Tickets'!$K$98</f>
        <v>Closed</v>
      </c>
      <c r="L98" s="1" t="str">
        <f>'Raw Tickets'!$L$98</f>
        <v>No</v>
      </c>
      <c r="M98" s="1" t="str">
        <f>'Raw Tickets'!$M$98</f>
        <v>No</v>
      </c>
      <c r="N98" s="1" t="str">
        <f>IFERROR(VLOOKUP(C98,Agents!$A$2:$E$26,2,FALSE),"")</f>
        <v>Rohan Verma</v>
      </c>
      <c r="O98" s="1" t="str">
        <f>IFERROR(INDEX(Agents!$D$2:$D$26,MATCH(C98,Agents!$A$2:$A$26,0)),"")</f>
        <v>Seller Support</v>
      </c>
      <c r="P98" s="1" t="str">
        <f>IFERROR(VLOOKUP(C98,Agents!$A$2:$E$26,3,FALSE),"")</f>
        <v>Vivek Jain</v>
      </c>
      <c r="Q98" s="1" t="str">
        <f>IFERROR(VLOOKUP(C98,Agents!$A$2:$E$26,5,FALSE),"")</f>
        <v>Noida</v>
      </c>
      <c r="R98" s="1">
        <f>IFERROR(VLOOKUP(F98,#REF!,2,FALSE),0)</f>
        <v>0</v>
      </c>
      <c r="S98" s="1" t="str">
        <f t="shared" si="6"/>
        <v>Breached</v>
      </c>
      <c r="T98" s="1" t="str">
        <f t="shared" si="7"/>
        <v>Within Target</v>
      </c>
      <c r="U98" s="1" t="str">
        <f t="shared" si="8"/>
        <v>2025-07</v>
      </c>
      <c r="V98" s="1" t="str">
        <f t="shared" si="9"/>
        <v>Average</v>
      </c>
      <c r="W98" s="1" t="str">
        <f t="shared" si="10"/>
        <v>Pass</v>
      </c>
      <c r="X98" s="1" t="str">
        <f t="shared" si="11"/>
        <v>Unique</v>
      </c>
    </row>
    <row r="99" spans="1:24" ht="15" customHeight="1">
      <c r="A99" s="1" t="str">
        <f>'Raw Tickets'!$A$99</f>
        <v>T00098</v>
      </c>
      <c r="B99" s="4">
        <f>'Raw Tickets'!$B$99</f>
        <v>45787</v>
      </c>
      <c r="C99" s="1" t="str">
        <f>'Raw Tickets'!$C$99</f>
        <v>A004</v>
      </c>
      <c r="D99" s="1" t="str">
        <f>'Raw Tickets'!$D$99</f>
        <v>Call</v>
      </c>
      <c r="E99" s="1" t="str">
        <f>'Raw Tickets'!$E$99</f>
        <v>Refund</v>
      </c>
      <c r="F99" s="1" t="str">
        <f>'Raw Tickets'!$F$99</f>
        <v>Low</v>
      </c>
      <c r="G99" s="1">
        <f>'Raw Tickets'!$G$99</f>
        <v>52.4</v>
      </c>
      <c r="H99" s="1">
        <f>'Raw Tickets'!$H$99</f>
        <v>65</v>
      </c>
      <c r="I99" s="1">
        <f>'Raw Tickets'!$I$99</f>
        <v>3</v>
      </c>
      <c r="J99" s="6">
        <f>'Raw Tickets'!$J$99</f>
        <v>84.3</v>
      </c>
      <c r="K99" s="1" t="str">
        <f>'Raw Tickets'!$K$99</f>
        <v>Closed</v>
      </c>
      <c r="L99" s="1" t="str">
        <f>'Raw Tickets'!$L$99</f>
        <v>No</v>
      </c>
      <c r="M99" s="1" t="str">
        <f>'Raw Tickets'!$M$99</f>
        <v>No</v>
      </c>
      <c r="N99" s="1" t="str">
        <f>IFERROR(VLOOKUP(C99,Agents!$A$2:$E$26,2,FALSE),"")</f>
        <v>Arjun Agarwal</v>
      </c>
      <c r="O99" s="1" t="str">
        <f>IFERROR(INDEX(Agents!$D$2:$D$26,MATCH(C99,Agents!$A$2:$A$26,0)),"")</f>
        <v>Email Support</v>
      </c>
      <c r="P99" s="1" t="str">
        <f>IFERROR(VLOOKUP(C99,Agents!$A$2:$E$26,3,FALSE),"")</f>
        <v>Aman Verma</v>
      </c>
      <c r="Q99" s="1" t="str">
        <f>IFERROR(VLOOKUP(C99,Agents!$A$2:$E$26,5,FALSE),"")</f>
        <v>Bengaluru</v>
      </c>
      <c r="R99" s="1">
        <f>IFERROR(VLOOKUP(F99,#REF!,2,FALSE),0)</f>
        <v>0</v>
      </c>
      <c r="S99" s="1" t="str">
        <f t="shared" si="6"/>
        <v>Breached</v>
      </c>
      <c r="T99" s="1" t="str">
        <f t="shared" si="7"/>
        <v>Late</v>
      </c>
      <c r="U99" s="1" t="str">
        <f t="shared" si="8"/>
        <v>2025-05</v>
      </c>
      <c r="V99" s="1" t="str">
        <f t="shared" si="9"/>
        <v>Average</v>
      </c>
      <c r="W99" s="1" t="str">
        <f t="shared" si="10"/>
        <v>Needs Coaching</v>
      </c>
      <c r="X99" s="1" t="str">
        <f t="shared" si="11"/>
        <v>Unique</v>
      </c>
    </row>
    <row r="100" spans="1:24" ht="15" customHeight="1">
      <c r="A100" s="1" t="str">
        <f>'Raw Tickets'!$A$100</f>
        <v>T00099</v>
      </c>
      <c r="B100" s="4">
        <f>'Raw Tickets'!$B$100</f>
        <v>45675</v>
      </c>
      <c r="C100" s="1" t="str">
        <f>'Raw Tickets'!$C$100</f>
        <v>A018</v>
      </c>
      <c r="D100" s="1" t="str">
        <f>'Raw Tickets'!$D$100</f>
        <v>Email</v>
      </c>
      <c r="E100" s="1" t="str">
        <f>'Raw Tickets'!$E$100</f>
        <v>Refund</v>
      </c>
      <c r="F100" s="1" t="str">
        <f>'Raw Tickets'!$F$100</f>
        <v>Medium</v>
      </c>
      <c r="G100" s="1">
        <f>'Raw Tickets'!$G$100</f>
        <v>31.7</v>
      </c>
      <c r="H100" s="1">
        <f>'Raw Tickets'!$H$100</f>
        <v>36</v>
      </c>
      <c r="I100" s="1">
        <f>'Raw Tickets'!$I$100</f>
        <v>2</v>
      </c>
      <c r="J100" s="6">
        <f>'Raw Tickets'!$J$100</f>
        <v>79.7</v>
      </c>
      <c r="K100" s="1" t="str">
        <f>'Raw Tickets'!$K$100</f>
        <v>Closed</v>
      </c>
      <c r="L100" s="1" t="str">
        <f>'Raw Tickets'!$L$100</f>
        <v>No</v>
      </c>
      <c r="M100" s="1" t="str">
        <f>'Raw Tickets'!$M$100</f>
        <v>No</v>
      </c>
      <c r="N100" s="1" t="str">
        <f>IFERROR(VLOOKUP(C100,Agents!$A$2:$E$26,2,FALSE),"")</f>
        <v>Rahul Verma</v>
      </c>
      <c r="O100" s="1" t="str">
        <f>IFERROR(INDEX(Agents!$D$2:$D$26,MATCH(C100,Agents!$A$2:$A$26,0)),"")</f>
        <v>Escalations</v>
      </c>
      <c r="P100" s="1" t="str">
        <f>IFERROR(VLOOKUP(C100,Agents!$A$2:$E$26,3,FALSE),"")</f>
        <v>Pallavi Rao</v>
      </c>
      <c r="Q100" s="1" t="str">
        <f>IFERROR(VLOOKUP(C100,Agents!$A$2:$E$26,5,FALSE),"")</f>
        <v>Hyderabad</v>
      </c>
      <c r="R100" s="1">
        <f>IFERROR(VLOOKUP(F100,#REF!,2,FALSE),0)</f>
        <v>0</v>
      </c>
      <c r="S100" s="1" t="str">
        <f t="shared" si="6"/>
        <v>Breached</v>
      </c>
      <c r="T100" s="1" t="str">
        <f t="shared" si="7"/>
        <v>Late</v>
      </c>
      <c r="U100" s="1" t="str">
        <f t="shared" si="8"/>
        <v>2025-01</v>
      </c>
      <c r="V100" s="1" t="str">
        <f t="shared" si="9"/>
        <v>Poor</v>
      </c>
      <c r="W100" s="1" t="str">
        <f t="shared" si="10"/>
        <v>Needs Coaching</v>
      </c>
      <c r="X100" s="1" t="str">
        <f t="shared" si="11"/>
        <v>Unique</v>
      </c>
    </row>
    <row r="101" spans="1:24" ht="15" customHeight="1">
      <c r="A101" s="1" t="str">
        <f>'Raw Tickets'!$A$101</f>
        <v>T00100</v>
      </c>
      <c r="B101" s="4">
        <f>'Raw Tickets'!$B$101</f>
        <v>46009</v>
      </c>
      <c r="C101" s="1" t="str">
        <f>'Raw Tickets'!$C$101</f>
        <v>A015</v>
      </c>
      <c r="D101" s="1" t="str">
        <f>'Raw Tickets'!$D$101</f>
        <v>Email</v>
      </c>
      <c r="E101" s="1" t="str">
        <f>'Raw Tickets'!$E$101</f>
        <v>Product Quality</v>
      </c>
      <c r="F101" s="1" t="str">
        <f>'Raw Tickets'!$F$101</f>
        <v>Low</v>
      </c>
      <c r="G101" s="1">
        <f>'Raw Tickets'!$G$101</f>
        <v>62.7</v>
      </c>
      <c r="H101" s="1">
        <f>'Raw Tickets'!$H$101</f>
        <v>14</v>
      </c>
      <c r="I101" s="1">
        <f>'Raw Tickets'!$I$101</f>
        <v>1</v>
      </c>
      <c r="J101" s="6">
        <f>'Raw Tickets'!$J$101</f>
        <v>93.1</v>
      </c>
      <c r="K101" s="1" t="str">
        <f>'Raw Tickets'!$K$101</f>
        <v>Closed</v>
      </c>
      <c r="L101" s="1" t="str">
        <f>'Raw Tickets'!$L$101</f>
        <v>No</v>
      </c>
      <c r="M101" s="1" t="str">
        <f>'Raw Tickets'!$M$101</f>
        <v>No</v>
      </c>
      <c r="N101" s="1" t="str">
        <f>IFERROR(VLOOKUP(C101,Agents!$A$2:$E$26,2,FALSE),"")</f>
        <v>Neha Jain</v>
      </c>
      <c r="O101" s="1" t="str">
        <f>IFERROR(INDEX(Agents!$D$2:$D$26,MATCH(C101,Agents!$A$2:$A$26,0)),"")</f>
        <v>Chat Support</v>
      </c>
      <c r="P101" s="1" t="str">
        <f>IFERROR(VLOOKUP(C101,Agents!$A$2:$E$26,3,FALSE),"")</f>
        <v>Nitin Gupta</v>
      </c>
      <c r="Q101" s="1" t="str">
        <f>IFERROR(VLOOKUP(C101,Agents!$A$2:$E$26,5,FALSE),"")</f>
        <v>Bengaluru</v>
      </c>
      <c r="R101" s="1">
        <f>IFERROR(VLOOKUP(F101,#REF!,2,FALSE),0)</f>
        <v>0</v>
      </c>
      <c r="S101" s="1" t="str">
        <f t="shared" si="6"/>
        <v>Breached</v>
      </c>
      <c r="T101" s="1" t="str">
        <f t="shared" si="7"/>
        <v>Within Target</v>
      </c>
      <c r="U101" s="1" t="str">
        <f t="shared" si="8"/>
        <v>2025-12</v>
      </c>
      <c r="V101" s="1" t="str">
        <f t="shared" si="9"/>
        <v>Poor</v>
      </c>
      <c r="W101" s="1" t="str">
        <f t="shared" si="10"/>
        <v>Pass</v>
      </c>
      <c r="X101" s="1" t="str">
        <f t="shared" si="11"/>
        <v>Unique</v>
      </c>
    </row>
    <row r="102" spans="1:24" ht="15" customHeight="1">
      <c r="A102" s="1" t="str">
        <f>'Raw Tickets'!$A$102</f>
        <v>T00101</v>
      </c>
      <c r="B102" s="4">
        <f>'Raw Tickets'!$B$102</f>
        <v>45792</v>
      </c>
      <c r="C102" s="1" t="str">
        <f>'Raw Tickets'!$C$102</f>
        <v>A024</v>
      </c>
      <c r="D102" s="1" t="str">
        <f>'Raw Tickets'!$D$102</f>
        <v>Chat</v>
      </c>
      <c r="E102" s="1" t="str">
        <f>'Raw Tickets'!$E$102</f>
        <v>Payment Failure</v>
      </c>
      <c r="F102" s="1" t="str">
        <f>'Raw Tickets'!$F$102</f>
        <v>High</v>
      </c>
      <c r="G102" s="1">
        <f>'Raw Tickets'!$G$102</f>
        <v>0.5</v>
      </c>
      <c r="H102" s="1">
        <f>'Raw Tickets'!$H$102</f>
        <v>19</v>
      </c>
      <c r="I102" s="1">
        <f>'Raw Tickets'!$I$102</f>
        <v>5</v>
      </c>
      <c r="J102" s="6">
        <f>'Raw Tickets'!$J$102</f>
        <v>83.1</v>
      </c>
      <c r="K102" s="1" t="str">
        <f>'Raw Tickets'!$K$102</f>
        <v>Closed</v>
      </c>
      <c r="L102" s="1" t="str">
        <f>'Raw Tickets'!$L$102</f>
        <v>No</v>
      </c>
      <c r="M102" s="1" t="str">
        <f>'Raw Tickets'!$M$102</f>
        <v>Yes</v>
      </c>
      <c r="N102" s="1" t="str">
        <f>IFERROR(VLOOKUP(C102,Agents!$A$2:$E$26,2,FALSE),"")</f>
        <v>Rohan Verma</v>
      </c>
      <c r="O102" s="1" t="str">
        <f>IFERROR(INDEX(Agents!$D$2:$D$26,MATCH(C102,Agents!$A$2:$A$26,0)),"")</f>
        <v>Seller Support</v>
      </c>
      <c r="P102" s="1" t="str">
        <f>IFERROR(VLOOKUP(C102,Agents!$A$2:$E$26,3,FALSE),"")</f>
        <v>Vivek Jain</v>
      </c>
      <c r="Q102" s="1" t="str">
        <f>IFERROR(VLOOKUP(C102,Agents!$A$2:$E$26,5,FALSE),"")</f>
        <v>Noida</v>
      </c>
      <c r="R102" s="1">
        <f>IFERROR(VLOOKUP(F102,#REF!,2,FALSE),0)</f>
        <v>0</v>
      </c>
      <c r="S102" s="1" t="str">
        <f t="shared" si="6"/>
        <v>Breached</v>
      </c>
      <c r="T102" s="1" t="str">
        <f t="shared" si="7"/>
        <v>Within Target</v>
      </c>
      <c r="U102" s="1" t="str">
        <f t="shared" si="8"/>
        <v>2025-05</v>
      </c>
      <c r="V102" s="1" t="str">
        <f t="shared" si="9"/>
        <v>Good</v>
      </c>
      <c r="W102" s="1" t="str">
        <f t="shared" si="10"/>
        <v>Needs Coaching</v>
      </c>
      <c r="X102" s="1" t="str">
        <f t="shared" si="11"/>
        <v>Unique</v>
      </c>
    </row>
    <row r="103" spans="1:24" ht="15" customHeight="1">
      <c r="A103" s="1" t="str">
        <f>'Raw Tickets'!$A$103</f>
        <v>T00102</v>
      </c>
      <c r="B103" s="4">
        <f>'Raw Tickets'!$B$103</f>
        <v>45809</v>
      </c>
      <c r="C103" s="1" t="str">
        <f>'Raw Tickets'!$C$103</f>
        <v>A008</v>
      </c>
      <c r="D103" s="1" t="str">
        <f>'Raw Tickets'!$D$103</f>
        <v>Call</v>
      </c>
      <c r="E103" s="1" t="str">
        <f>'Raw Tickets'!$E$103</f>
        <v>Payment Failure</v>
      </c>
      <c r="F103" s="1" t="str">
        <f>'Raw Tickets'!$F$103</f>
        <v>Medium</v>
      </c>
      <c r="G103" s="1">
        <f>'Raw Tickets'!$G$103</f>
        <v>14.3</v>
      </c>
      <c r="H103" s="1">
        <f>'Raw Tickets'!$H$103</f>
        <v>58</v>
      </c>
      <c r="I103" s="1">
        <f>'Raw Tickets'!$I$103</f>
        <v>5</v>
      </c>
      <c r="J103" s="6">
        <f>'Raw Tickets'!$J$103</f>
        <v>81</v>
      </c>
      <c r="K103" s="1" t="str">
        <f>'Raw Tickets'!$K$103</f>
        <v>Closed</v>
      </c>
      <c r="L103" s="1" t="str">
        <f>'Raw Tickets'!$L$103</f>
        <v>No</v>
      </c>
      <c r="M103" s="1" t="str">
        <f>'Raw Tickets'!$M$103</f>
        <v>No</v>
      </c>
      <c r="N103" s="1" t="str">
        <f>IFERROR(VLOOKUP(C103,Agents!$A$2:$E$26,2,FALSE),"")</f>
        <v>Ananya Mishra</v>
      </c>
      <c r="O103" s="1" t="str">
        <f>IFERROR(INDEX(Agents!$D$2:$D$26,MATCH(C103,Agents!$A$2:$A$26,0)),"")</f>
        <v>Voice Support</v>
      </c>
      <c r="P103" s="1" t="str">
        <f>IFERROR(VLOOKUP(C103,Agents!$A$2:$E$26,3,FALSE),"")</f>
        <v>Kritika Shah</v>
      </c>
      <c r="Q103" s="1" t="str">
        <f>IFERROR(VLOOKUP(C103,Agents!$A$2:$E$26,5,FALSE),"")</f>
        <v>Hyderabad</v>
      </c>
      <c r="R103" s="1">
        <f>IFERROR(VLOOKUP(F103,#REF!,2,FALSE),0)</f>
        <v>0</v>
      </c>
      <c r="S103" s="1" t="str">
        <f t="shared" si="6"/>
        <v>Breached</v>
      </c>
      <c r="T103" s="1" t="str">
        <f t="shared" si="7"/>
        <v>Late</v>
      </c>
      <c r="U103" s="1" t="str">
        <f t="shared" si="8"/>
        <v>2025-06</v>
      </c>
      <c r="V103" s="1" t="str">
        <f t="shared" si="9"/>
        <v>Good</v>
      </c>
      <c r="W103" s="1" t="str">
        <f t="shared" si="10"/>
        <v>Needs Coaching</v>
      </c>
      <c r="X103" s="1" t="str">
        <f t="shared" si="11"/>
        <v>Unique</v>
      </c>
    </row>
    <row r="104" spans="1:24" ht="15" customHeight="1">
      <c r="A104" s="1" t="str">
        <f>'Raw Tickets'!$A$104</f>
        <v>T00103</v>
      </c>
      <c r="B104" s="4">
        <f>'Raw Tickets'!$B$104</f>
        <v>45719</v>
      </c>
      <c r="C104" s="1" t="str">
        <f>'Raw Tickets'!$C$104</f>
        <v>A020</v>
      </c>
      <c r="D104" s="1" t="str">
        <f>'Raw Tickets'!$D$104</f>
        <v>Chat</v>
      </c>
      <c r="E104" s="1" t="str">
        <f>'Raw Tickets'!$E$104</f>
        <v>Delivery Delay</v>
      </c>
      <c r="F104" s="1" t="str">
        <f>'Raw Tickets'!$F$104</f>
        <v>Medium</v>
      </c>
      <c r="G104" s="1">
        <f>'Raw Tickets'!$G$104</f>
        <v>19.600000000000001</v>
      </c>
      <c r="H104" s="1">
        <f>'Raw Tickets'!$H$104</f>
        <v>42</v>
      </c>
      <c r="I104" s="1">
        <f>'Raw Tickets'!$I$104</f>
        <v>4</v>
      </c>
      <c r="J104" s="6">
        <f>'Raw Tickets'!$J$104</f>
        <v>89.8</v>
      </c>
      <c r="K104" s="1" t="str">
        <f>'Raw Tickets'!$K$104</f>
        <v>Open</v>
      </c>
      <c r="L104" s="1" t="str">
        <f>'Raw Tickets'!$L$104</f>
        <v>No</v>
      </c>
      <c r="M104" s="1" t="str">
        <f>'Raw Tickets'!$M$104</f>
        <v>No</v>
      </c>
      <c r="N104" s="1" t="str">
        <f>IFERROR(VLOOKUP(C104,Agents!$A$2:$E$26,2,FALSE),"")</f>
        <v>Aditi Bansal</v>
      </c>
      <c r="O104" s="1" t="str">
        <f>IFERROR(INDEX(Agents!$D$2:$D$26,MATCH(C104,Agents!$A$2:$A$26,0)),"")</f>
        <v>Escalations</v>
      </c>
      <c r="P104" s="1" t="str">
        <f>IFERROR(VLOOKUP(C104,Agents!$A$2:$E$26,3,FALSE),"")</f>
        <v>Pallavi Rao</v>
      </c>
      <c r="Q104" s="1" t="str">
        <f>IFERROR(VLOOKUP(C104,Agents!$A$2:$E$26,5,FALSE),"")</f>
        <v>Noida</v>
      </c>
      <c r="R104" s="1">
        <f>IFERROR(VLOOKUP(F104,#REF!,2,FALSE),0)</f>
        <v>0</v>
      </c>
      <c r="S104" s="1" t="str">
        <f t="shared" si="6"/>
        <v>Breached</v>
      </c>
      <c r="T104" s="1" t="str">
        <f t="shared" si="7"/>
        <v>Late</v>
      </c>
      <c r="U104" s="1" t="str">
        <f t="shared" si="8"/>
        <v>2025-03</v>
      </c>
      <c r="V104" s="1" t="str">
        <f t="shared" si="9"/>
        <v>Good</v>
      </c>
      <c r="W104" s="1" t="str">
        <f t="shared" si="10"/>
        <v>Pass</v>
      </c>
      <c r="X104" s="1" t="str">
        <f t="shared" si="11"/>
        <v>Unique</v>
      </c>
    </row>
    <row r="105" spans="1:24" ht="15" customHeight="1">
      <c r="A105" s="1" t="str">
        <f>'Raw Tickets'!$A$105</f>
        <v>T00104</v>
      </c>
      <c r="B105" s="4">
        <f>'Raw Tickets'!$B$105</f>
        <v>45897</v>
      </c>
      <c r="C105" s="1" t="str">
        <f>'Raw Tickets'!$C$105</f>
        <v>A024</v>
      </c>
      <c r="D105" s="1" t="str">
        <f>'Raw Tickets'!$D$105</f>
        <v>Email</v>
      </c>
      <c r="E105" s="1" t="str">
        <f>'Raw Tickets'!$E$105</f>
        <v>Delivery Delay</v>
      </c>
      <c r="F105" s="1" t="str">
        <f>'Raw Tickets'!$F$105</f>
        <v>High</v>
      </c>
      <c r="G105" s="1">
        <f>'Raw Tickets'!$G$105</f>
        <v>10.8</v>
      </c>
      <c r="H105" s="1">
        <f>'Raw Tickets'!$H$105</f>
        <v>1</v>
      </c>
      <c r="I105" s="1">
        <f>'Raw Tickets'!$I$105</f>
        <v>5</v>
      </c>
      <c r="J105" s="6">
        <f>'Raw Tickets'!$J$105</f>
        <v>85</v>
      </c>
      <c r="K105" s="1" t="str">
        <f>'Raw Tickets'!$K$105</f>
        <v>Open</v>
      </c>
      <c r="L105" s="1" t="str">
        <f>'Raw Tickets'!$L$105</f>
        <v>Yes</v>
      </c>
      <c r="M105" s="1" t="str">
        <f>'Raw Tickets'!$M$105</f>
        <v>No</v>
      </c>
      <c r="N105" s="1" t="str">
        <f>IFERROR(VLOOKUP(C105,Agents!$A$2:$E$26,2,FALSE),"")</f>
        <v>Rohan Verma</v>
      </c>
      <c r="O105" s="1" t="str">
        <f>IFERROR(INDEX(Agents!$D$2:$D$26,MATCH(C105,Agents!$A$2:$A$26,0)),"")</f>
        <v>Seller Support</v>
      </c>
      <c r="P105" s="1" t="str">
        <f>IFERROR(VLOOKUP(C105,Agents!$A$2:$E$26,3,FALSE),"")</f>
        <v>Vivek Jain</v>
      </c>
      <c r="Q105" s="1" t="str">
        <f>IFERROR(VLOOKUP(C105,Agents!$A$2:$E$26,5,FALSE),"")</f>
        <v>Noida</v>
      </c>
      <c r="R105" s="1">
        <f>IFERROR(VLOOKUP(F105,#REF!,2,FALSE),0)</f>
        <v>0</v>
      </c>
      <c r="S105" s="1" t="str">
        <f t="shared" si="6"/>
        <v>Breached</v>
      </c>
      <c r="T105" s="1" t="str">
        <f t="shared" si="7"/>
        <v>Within Target</v>
      </c>
      <c r="U105" s="1" t="str">
        <f t="shared" si="8"/>
        <v>2025-08</v>
      </c>
      <c r="V105" s="1" t="str">
        <f t="shared" si="9"/>
        <v>Good</v>
      </c>
      <c r="W105" s="1" t="str">
        <f t="shared" si="10"/>
        <v>Pass</v>
      </c>
      <c r="X105" s="1" t="str">
        <f t="shared" si="11"/>
        <v>Unique</v>
      </c>
    </row>
    <row r="106" spans="1:24" ht="15" customHeight="1">
      <c r="A106" s="1" t="str">
        <f>'Raw Tickets'!$A$106</f>
        <v>T00105</v>
      </c>
      <c r="B106" s="4">
        <f>'Raw Tickets'!$B$106</f>
        <v>45954</v>
      </c>
      <c r="C106" s="1" t="str">
        <f>'Raw Tickets'!$C$106</f>
        <v>A014</v>
      </c>
      <c r="D106" s="1" t="str">
        <f>'Raw Tickets'!$D$106</f>
        <v>Call</v>
      </c>
      <c r="E106" s="1" t="str">
        <f>'Raw Tickets'!$E$106</f>
        <v>Order Cancellation</v>
      </c>
      <c r="F106" s="1" t="str">
        <f>'Raw Tickets'!$F$106</f>
        <v>Low</v>
      </c>
      <c r="G106" s="1">
        <f>'Raw Tickets'!$G$106</f>
        <v>49.7</v>
      </c>
      <c r="H106" s="1">
        <f>'Raw Tickets'!$H$106</f>
        <v>44</v>
      </c>
      <c r="I106" s="1">
        <f>'Raw Tickets'!$I$106</f>
        <v>5</v>
      </c>
      <c r="J106" s="6">
        <f>'Raw Tickets'!$J$106</f>
        <v>82.8</v>
      </c>
      <c r="K106" s="1" t="str">
        <f>'Raw Tickets'!$K$106</f>
        <v>Closed</v>
      </c>
      <c r="L106" s="1" t="str">
        <f>'Raw Tickets'!$L$106</f>
        <v>No</v>
      </c>
      <c r="M106" s="1" t="str">
        <f>'Raw Tickets'!$M$106</f>
        <v>No</v>
      </c>
      <c r="N106" s="1" t="str">
        <f>IFERROR(VLOOKUP(C106,Agents!$A$2:$E$26,2,FALSE),"")</f>
        <v>Ananya Jain</v>
      </c>
      <c r="O106" s="1" t="str">
        <f>IFERROR(INDEX(Agents!$D$2:$D$26,MATCH(C106,Agents!$A$2:$A$26,0)),"")</f>
        <v>Chat Support</v>
      </c>
      <c r="P106" s="1" t="str">
        <f>IFERROR(VLOOKUP(C106,Agents!$A$2:$E$26,3,FALSE),"")</f>
        <v>Nitin Gupta</v>
      </c>
      <c r="Q106" s="1" t="str">
        <f>IFERROR(VLOOKUP(C106,Agents!$A$2:$E$26,5,FALSE),"")</f>
        <v>Bengaluru</v>
      </c>
      <c r="R106" s="1">
        <f>IFERROR(VLOOKUP(F106,#REF!,2,FALSE),0)</f>
        <v>0</v>
      </c>
      <c r="S106" s="1" t="str">
        <f t="shared" si="6"/>
        <v>Breached</v>
      </c>
      <c r="T106" s="1" t="str">
        <f t="shared" si="7"/>
        <v>Late</v>
      </c>
      <c r="U106" s="1" t="str">
        <f t="shared" si="8"/>
        <v>2025-10</v>
      </c>
      <c r="V106" s="1" t="str">
        <f t="shared" si="9"/>
        <v>Good</v>
      </c>
      <c r="W106" s="1" t="str">
        <f t="shared" si="10"/>
        <v>Needs Coaching</v>
      </c>
      <c r="X106" s="1" t="str">
        <f t="shared" si="11"/>
        <v>Unique</v>
      </c>
    </row>
    <row r="107" spans="1:24" ht="15" customHeight="1">
      <c r="A107" s="1" t="str">
        <f>'Raw Tickets'!$A$107</f>
        <v>T00106</v>
      </c>
      <c r="B107" s="4">
        <f>'Raw Tickets'!$B$107</f>
        <v>45996</v>
      </c>
      <c r="C107" s="1" t="str">
        <f>'Raw Tickets'!$C$107</f>
        <v>A023</v>
      </c>
      <c r="D107" s="1" t="str">
        <f>'Raw Tickets'!$D$107</f>
        <v>Chat</v>
      </c>
      <c r="E107" s="1" t="str">
        <f>'Raw Tickets'!$E$107</f>
        <v>Account Issue</v>
      </c>
      <c r="F107" s="1" t="str">
        <f>'Raw Tickets'!$F$107</f>
        <v>Medium</v>
      </c>
      <c r="G107" s="1">
        <f>'Raw Tickets'!$G$107</f>
        <v>7.7</v>
      </c>
      <c r="H107" s="1">
        <f>'Raw Tickets'!$H$107</f>
        <v>41</v>
      </c>
      <c r="I107" s="1">
        <f>'Raw Tickets'!$I$107</f>
        <v>5</v>
      </c>
      <c r="J107" s="6">
        <f>'Raw Tickets'!$J$107</f>
        <v>90.6</v>
      </c>
      <c r="K107" s="1" t="str">
        <f>'Raw Tickets'!$K$107</f>
        <v>Closed</v>
      </c>
      <c r="L107" s="1" t="str">
        <f>'Raw Tickets'!$L$107</f>
        <v>No</v>
      </c>
      <c r="M107" s="1" t="str">
        <f>'Raw Tickets'!$M$107</f>
        <v>No</v>
      </c>
      <c r="N107" s="1" t="str">
        <f>IFERROR(VLOOKUP(C107,Agents!$A$2:$E$26,2,FALSE),"")</f>
        <v>Ishita Verma</v>
      </c>
      <c r="O107" s="1" t="str">
        <f>IFERROR(INDEX(Agents!$D$2:$D$26,MATCH(C107,Agents!$A$2:$A$26,0)),"")</f>
        <v>Seller Support</v>
      </c>
      <c r="P107" s="1" t="str">
        <f>IFERROR(VLOOKUP(C107,Agents!$A$2:$E$26,3,FALSE),"")</f>
        <v>Vivek Jain</v>
      </c>
      <c r="Q107" s="1" t="str">
        <f>IFERROR(VLOOKUP(C107,Agents!$A$2:$E$26,5,FALSE),"")</f>
        <v>Noida</v>
      </c>
      <c r="R107" s="1">
        <f>IFERROR(VLOOKUP(F107,#REF!,2,FALSE),0)</f>
        <v>0</v>
      </c>
      <c r="S107" s="1" t="str">
        <f t="shared" si="6"/>
        <v>Breached</v>
      </c>
      <c r="T107" s="1" t="str">
        <f t="shared" si="7"/>
        <v>Late</v>
      </c>
      <c r="U107" s="1" t="str">
        <f t="shared" si="8"/>
        <v>2025-12</v>
      </c>
      <c r="V107" s="1" t="str">
        <f t="shared" si="9"/>
        <v>Good</v>
      </c>
      <c r="W107" s="1" t="str">
        <f t="shared" si="10"/>
        <v>Pass</v>
      </c>
      <c r="X107" s="1" t="str">
        <f t="shared" si="11"/>
        <v>Unique</v>
      </c>
    </row>
    <row r="108" spans="1:24" ht="15" customHeight="1">
      <c r="A108" s="1" t="str">
        <f>'Raw Tickets'!$A$108</f>
        <v>T00107</v>
      </c>
      <c r="B108" s="4">
        <f>'Raw Tickets'!$B$108</f>
        <v>45833</v>
      </c>
      <c r="C108" s="1" t="str">
        <f>'Raw Tickets'!$C$108</f>
        <v>A003</v>
      </c>
      <c r="D108" s="1" t="str">
        <f>'Raw Tickets'!$D$108</f>
        <v>Email</v>
      </c>
      <c r="E108" s="1" t="str">
        <f>'Raw Tickets'!$E$108</f>
        <v>Payment Failure</v>
      </c>
      <c r="F108" s="1" t="str">
        <f>'Raw Tickets'!$F$108</f>
        <v>Medium</v>
      </c>
      <c r="G108" s="1">
        <f>'Raw Tickets'!$G$108</f>
        <v>9.1</v>
      </c>
      <c r="H108" s="1">
        <f>'Raw Tickets'!$H$108</f>
        <v>45</v>
      </c>
      <c r="I108" s="1">
        <f>'Raw Tickets'!$I$108</f>
        <v>1</v>
      </c>
      <c r="J108" s="6">
        <f>'Raw Tickets'!$J$108</f>
        <v>78.599999999999994</v>
      </c>
      <c r="K108" s="1" t="str">
        <f>'Raw Tickets'!$K$108</f>
        <v>Closed</v>
      </c>
      <c r="L108" s="1" t="str">
        <f>'Raw Tickets'!$L$108</f>
        <v>No</v>
      </c>
      <c r="M108" s="1" t="str">
        <f>'Raw Tickets'!$M$108</f>
        <v>No</v>
      </c>
      <c r="N108" s="1" t="str">
        <f>IFERROR(VLOOKUP(C108,Agents!$A$2:$E$26,2,FALSE),"")</f>
        <v>Kabir Verma</v>
      </c>
      <c r="O108" s="1" t="str">
        <f>IFERROR(INDEX(Agents!$D$2:$D$26,MATCH(C108,Agents!$A$2:$A$26,0)),"")</f>
        <v>Email Support</v>
      </c>
      <c r="P108" s="1" t="str">
        <f>IFERROR(VLOOKUP(C108,Agents!$A$2:$E$26,3,FALSE),"")</f>
        <v>Aman Verma</v>
      </c>
      <c r="Q108" s="1" t="str">
        <f>IFERROR(VLOOKUP(C108,Agents!$A$2:$E$26,5,FALSE),"")</f>
        <v>Gurugram</v>
      </c>
      <c r="R108" s="1">
        <f>IFERROR(VLOOKUP(F108,#REF!,2,FALSE),0)</f>
        <v>0</v>
      </c>
      <c r="S108" s="1" t="str">
        <f t="shared" si="6"/>
        <v>Breached</v>
      </c>
      <c r="T108" s="1" t="str">
        <f t="shared" si="7"/>
        <v>Late</v>
      </c>
      <c r="U108" s="1" t="str">
        <f t="shared" si="8"/>
        <v>2025-06</v>
      </c>
      <c r="V108" s="1" t="str">
        <f t="shared" si="9"/>
        <v>Poor</v>
      </c>
      <c r="W108" s="1" t="str">
        <f t="shared" si="10"/>
        <v>Needs Coaching</v>
      </c>
      <c r="X108" s="1" t="str">
        <f t="shared" si="11"/>
        <v>Unique</v>
      </c>
    </row>
    <row r="109" spans="1:24" ht="15" customHeight="1">
      <c r="A109" s="1" t="str">
        <f>'Raw Tickets'!$A$109</f>
        <v>T00108</v>
      </c>
      <c r="B109" s="4">
        <f>'Raw Tickets'!$B$109</f>
        <v>45764</v>
      </c>
      <c r="C109" s="1" t="str">
        <f>'Raw Tickets'!$C$109</f>
        <v>A001</v>
      </c>
      <c r="D109" s="1" t="str">
        <f>'Raw Tickets'!$D$109</f>
        <v>Email</v>
      </c>
      <c r="E109" s="1" t="str">
        <f>'Raw Tickets'!$E$109</f>
        <v>Product Quality</v>
      </c>
      <c r="F109" s="1" t="str">
        <f>'Raw Tickets'!$F$109</f>
        <v>Low</v>
      </c>
      <c r="G109" s="1">
        <f>'Raw Tickets'!$G$109</f>
        <v>13.7</v>
      </c>
      <c r="H109" s="1">
        <f>'Raw Tickets'!$H$109</f>
        <v>36</v>
      </c>
      <c r="I109" s="1">
        <f>'Raw Tickets'!$I$109</f>
        <v>2</v>
      </c>
      <c r="J109" s="6">
        <f>'Raw Tickets'!$J$109</f>
        <v>88.5</v>
      </c>
      <c r="K109" s="1" t="str">
        <f>'Raw Tickets'!$K$109</f>
        <v>Closed</v>
      </c>
      <c r="L109" s="1" t="str">
        <f>'Raw Tickets'!$L$109</f>
        <v>No</v>
      </c>
      <c r="M109" s="1" t="str">
        <f>'Raw Tickets'!$M$109</f>
        <v>No</v>
      </c>
      <c r="N109" s="1" t="str">
        <f>IFERROR(VLOOKUP(C109,Agents!$A$2:$E$26,2,FALSE),"")</f>
        <v>Ishita Patel</v>
      </c>
      <c r="O109" s="1" t="str">
        <f>IFERROR(INDEX(Agents!$D$2:$D$26,MATCH(C109,Agents!$A$2:$A$26,0)),"")</f>
        <v>Email Support</v>
      </c>
      <c r="P109" s="1" t="str">
        <f>IFERROR(VLOOKUP(C109,Agents!$A$2:$E$26,3,FALSE),"")</f>
        <v>Aman Verma</v>
      </c>
      <c r="Q109" s="1" t="str">
        <f>IFERROR(VLOOKUP(C109,Agents!$A$2:$E$26,5,FALSE),"")</f>
        <v>Gurugram</v>
      </c>
      <c r="R109" s="1">
        <f>IFERROR(VLOOKUP(F109,#REF!,2,FALSE),0)</f>
        <v>0</v>
      </c>
      <c r="S109" s="1" t="str">
        <f t="shared" si="6"/>
        <v>Breached</v>
      </c>
      <c r="T109" s="1" t="str">
        <f t="shared" si="7"/>
        <v>Late</v>
      </c>
      <c r="U109" s="1" t="str">
        <f t="shared" si="8"/>
        <v>2025-04</v>
      </c>
      <c r="V109" s="1" t="str">
        <f t="shared" si="9"/>
        <v>Poor</v>
      </c>
      <c r="W109" s="1" t="str">
        <f t="shared" si="10"/>
        <v>Pass</v>
      </c>
      <c r="X109" s="1" t="str">
        <f t="shared" si="11"/>
        <v>Unique</v>
      </c>
    </row>
    <row r="110" spans="1:24" ht="15" customHeight="1">
      <c r="A110" s="1" t="str">
        <f>'Raw Tickets'!$A$110</f>
        <v>T00109</v>
      </c>
      <c r="B110" s="4">
        <f>'Raw Tickets'!$B$110</f>
        <v>45876</v>
      </c>
      <c r="C110" s="1" t="str">
        <f>'Raw Tickets'!$C$110</f>
        <v>A019</v>
      </c>
      <c r="D110" s="1" t="str">
        <f>'Raw Tickets'!$D$110</f>
        <v>Chat</v>
      </c>
      <c r="E110" s="1" t="str">
        <f>'Raw Tickets'!$E$110</f>
        <v>Order Cancellation</v>
      </c>
      <c r="F110" s="1" t="str">
        <f>'Raw Tickets'!$F$110</f>
        <v>Low</v>
      </c>
      <c r="G110" s="1">
        <f>'Raw Tickets'!$G$110</f>
        <v>31.2</v>
      </c>
      <c r="H110" s="1">
        <f>'Raw Tickets'!$H$110</f>
        <v>39</v>
      </c>
      <c r="I110" s="1">
        <f>'Raw Tickets'!$I$110</f>
        <v>5</v>
      </c>
      <c r="J110" s="6">
        <f>'Raw Tickets'!$J$110</f>
        <v>81.099999999999994</v>
      </c>
      <c r="K110" s="1" t="str">
        <f>'Raw Tickets'!$K$110</f>
        <v>Closed</v>
      </c>
      <c r="L110" s="1" t="str">
        <f>'Raw Tickets'!$L$110</f>
        <v>No</v>
      </c>
      <c r="M110" s="1" t="str">
        <f>'Raw Tickets'!$M$110</f>
        <v>No</v>
      </c>
      <c r="N110" s="1" t="str">
        <f>IFERROR(VLOOKUP(C110,Agents!$A$2:$E$26,2,FALSE),"")</f>
        <v>Sneha Joshi</v>
      </c>
      <c r="O110" s="1" t="str">
        <f>IFERROR(INDEX(Agents!$D$2:$D$26,MATCH(C110,Agents!$A$2:$A$26,0)),"")</f>
        <v>Escalations</v>
      </c>
      <c r="P110" s="1" t="str">
        <f>IFERROR(VLOOKUP(C110,Agents!$A$2:$E$26,3,FALSE),"")</f>
        <v>Pallavi Rao</v>
      </c>
      <c r="Q110" s="1" t="str">
        <f>IFERROR(VLOOKUP(C110,Agents!$A$2:$E$26,5,FALSE),"")</f>
        <v>Hyderabad</v>
      </c>
      <c r="R110" s="1">
        <f>IFERROR(VLOOKUP(F110,#REF!,2,FALSE),0)</f>
        <v>0</v>
      </c>
      <c r="S110" s="1" t="str">
        <f t="shared" si="6"/>
        <v>Breached</v>
      </c>
      <c r="T110" s="1" t="str">
        <f t="shared" si="7"/>
        <v>Late</v>
      </c>
      <c r="U110" s="1" t="str">
        <f t="shared" si="8"/>
        <v>2025-08</v>
      </c>
      <c r="V110" s="1" t="str">
        <f t="shared" si="9"/>
        <v>Good</v>
      </c>
      <c r="W110" s="1" t="str">
        <f t="shared" si="10"/>
        <v>Needs Coaching</v>
      </c>
      <c r="X110" s="1" t="str">
        <f t="shared" si="11"/>
        <v>Unique</v>
      </c>
    </row>
    <row r="111" spans="1:24" ht="15" customHeight="1">
      <c r="A111" s="1" t="str">
        <f>'Raw Tickets'!$A$111</f>
        <v>T00110</v>
      </c>
      <c r="B111" s="4">
        <f>'Raw Tickets'!$B$111</f>
        <v>45792</v>
      </c>
      <c r="C111" s="1" t="str">
        <f>'Raw Tickets'!$C$111</f>
        <v>A009</v>
      </c>
      <c r="D111" s="1" t="str">
        <f>'Raw Tickets'!$D$111</f>
        <v>Chat</v>
      </c>
      <c r="E111" s="1" t="str">
        <f>'Raw Tickets'!$E$111</f>
        <v>Refund</v>
      </c>
      <c r="F111" s="1" t="str">
        <f>'Raw Tickets'!$F$111</f>
        <v>High</v>
      </c>
      <c r="G111" s="1">
        <f>'Raw Tickets'!$G$111</f>
        <v>2.8</v>
      </c>
      <c r="H111" s="1">
        <f>'Raw Tickets'!$H$111</f>
        <v>32</v>
      </c>
      <c r="I111" s="1">
        <f>'Raw Tickets'!$I$111</f>
        <v>4</v>
      </c>
      <c r="J111" s="6">
        <f>'Raw Tickets'!$J$111</f>
        <v>77.099999999999994</v>
      </c>
      <c r="K111" s="1" t="str">
        <f>'Raw Tickets'!$K$111</f>
        <v>Closed</v>
      </c>
      <c r="L111" s="1" t="str">
        <f>'Raw Tickets'!$L$111</f>
        <v>No</v>
      </c>
      <c r="M111" s="1" t="str">
        <f>'Raw Tickets'!$M$111</f>
        <v>Yes</v>
      </c>
      <c r="N111" s="1" t="str">
        <f>IFERROR(VLOOKUP(C111,Agents!$A$2:$E$26,2,FALSE),"")</f>
        <v>Divya Mehta</v>
      </c>
      <c r="O111" s="1" t="str">
        <f>IFERROR(INDEX(Agents!$D$2:$D$26,MATCH(C111,Agents!$A$2:$A$26,0)),"")</f>
        <v>Voice Support</v>
      </c>
      <c r="P111" s="1" t="str">
        <f>IFERROR(VLOOKUP(C111,Agents!$A$2:$E$26,3,FALSE),"")</f>
        <v>Kritika Shah</v>
      </c>
      <c r="Q111" s="1" t="str">
        <f>IFERROR(VLOOKUP(C111,Agents!$A$2:$E$26,5,FALSE),"")</f>
        <v>Gurugram</v>
      </c>
      <c r="R111" s="1">
        <f>IFERROR(VLOOKUP(F111,#REF!,2,FALSE),0)</f>
        <v>0</v>
      </c>
      <c r="S111" s="1" t="str">
        <f t="shared" si="6"/>
        <v>Breached</v>
      </c>
      <c r="T111" s="1" t="str">
        <f t="shared" si="7"/>
        <v>Late</v>
      </c>
      <c r="U111" s="1" t="str">
        <f t="shared" si="8"/>
        <v>2025-05</v>
      </c>
      <c r="V111" s="1" t="str">
        <f t="shared" si="9"/>
        <v>Good</v>
      </c>
      <c r="W111" s="1" t="str">
        <f t="shared" si="10"/>
        <v>Needs Coaching</v>
      </c>
      <c r="X111" s="1" t="str">
        <f t="shared" si="11"/>
        <v>Unique</v>
      </c>
    </row>
    <row r="112" spans="1:24" ht="15" customHeight="1">
      <c r="A112" s="1" t="str">
        <f>'Raw Tickets'!$A$112</f>
        <v>T00111</v>
      </c>
      <c r="B112" s="4">
        <f>'Raw Tickets'!$B$112</f>
        <v>45870</v>
      </c>
      <c r="C112" s="1" t="str">
        <f>'Raw Tickets'!$C$112</f>
        <v>A002</v>
      </c>
      <c r="D112" s="1" t="str">
        <f>'Raw Tickets'!$D$112</f>
        <v>Chat</v>
      </c>
      <c r="E112" s="1" t="str">
        <f>'Raw Tickets'!$E$112</f>
        <v>Product Quality</v>
      </c>
      <c r="F112" s="1" t="str">
        <f>'Raw Tickets'!$F$112</f>
        <v>Low</v>
      </c>
      <c r="G112" s="1">
        <f>'Raw Tickets'!$G$112</f>
        <v>27.7</v>
      </c>
      <c r="H112" s="1">
        <f>'Raw Tickets'!$H$112</f>
        <v>20</v>
      </c>
      <c r="I112" s="1">
        <f>'Raw Tickets'!$I$112</f>
        <v>1</v>
      </c>
      <c r="J112" s="6">
        <f>'Raw Tickets'!$J$112</f>
        <v>72.099999999999994</v>
      </c>
      <c r="K112" s="1" t="str">
        <f>'Raw Tickets'!$K$112</f>
        <v>Closed</v>
      </c>
      <c r="L112" s="1" t="str">
        <f>'Raw Tickets'!$L$112</f>
        <v>No</v>
      </c>
      <c r="M112" s="1" t="str">
        <f>'Raw Tickets'!$M$112</f>
        <v>Yes</v>
      </c>
      <c r="N112" s="1" t="str">
        <f>IFERROR(VLOOKUP(C112,Agents!$A$2:$E$26,2,FALSE),"")</f>
        <v>Gaurav Khan</v>
      </c>
      <c r="O112" s="1" t="str">
        <f>IFERROR(INDEX(Agents!$D$2:$D$26,MATCH(C112,Agents!$A$2:$A$26,0)),"")</f>
        <v>Email Support</v>
      </c>
      <c r="P112" s="1" t="str">
        <f>IFERROR(VLOOKUP(C112,Agents!$A$2:$E$26,3,FALSE),"")</f>
        <v>Aman Verma</v>
      </c>
      <c r="Q112" s="1" t="str">
        <f>IFERROR(VLOOKUP(C112,Agents!$A$2:$E$26,5,FALSE),"")</f>
        <v>Noida</v>
      </c>
      <c r="R112" s="1">
        <f>IFERROR(VLOOKUP(F112,#REF!,2,FALSE),0)</f>
        <v>0</v>
      </c>
      <c r="S112" s="1" t="str">
        <f t="shared" si="6"/>
        <v>Breached</v>
      </c>
      <c r="T112" s="1" t="str">
        <f t="shared" si="7"/>
        <v>Within Target</v>
      </c>
      <c r="U112" s="1" t="str">
        <f t="shared" si="8"/>
        <v>2025-08</v>
      </c>
      <c r="V112" s="1" t="str">
        <f t="shared" si="9"/>
        <v>Poor</v>
      </c>
      <c r="W112" s="1" t="str">
        <f t="shared" si="10"/>
        <v>Needs Coaching</v>
      </c>
      <c r="X112" s="1" t="str">
        <f t="shared" si="11"/>
        <v>Unique</v>
      </c>
    </row>
    <row r="113" spans="1:24" ht="15" customHeight="1">
      <c r="A113" s="1" t="str">
        <f>'Raw Tickets'!$A$113</f>
        <v>T00112</v>
      </c>
      <c r="B113" s="4">
        <f>'Raw Tickets'!$B$113</f>
        <v>45823</v>
      </c>
      <c r="C113" s="1" t="str">
        <f>'Raw Tickets'!$C$113</f>
        <v>A002</v>
      </c>
      <c r="D113" s="1" t="str">
        <f>'Raw Tickets'!$D$113</f>
        <v>Call</v>
      </c>
      <c r="E113" s="1" t="str">
        <f>'Raw Tickets'!$E$113</f>
        <v>Payment Failure</v>
      </c>
      <c r="F113" s="1" t="str">
        <f>'Raw Tickets'!$F$113</f>
        <v>Medium</v>
      </c>
      <c r="G113" s="1">
        <f>'Raw Tickets'!$G$113</f>
        <v>26.1</v>
      </c>
      <c r="H113" s="1">
        <f>'Raw Tickets'!$H$113</f>
        <v>60</v>
      </c>
      <c r="I113" s="1">
        <f>'Raw Tickets'!$I$113</f>
        <v>3</v>
      </c>
      <c r="J113" s="6">
        <f>'Raw Tickets'!$J$113</f>
        <v>70.5</v>
      </c>
      <c r="K113" s="1" t="str">
        <f>'Raw Tickets'!$K$113</f>
        <v>Open</v>
      </c>
      <c r="L113" s="1" t="str">
        <f>'Raw Tickets'!$L$113</f>
        <v>No</v>
      </c>
      <c r="M113" s="1" t="str">
        <f>'Raw Tickets'!$M$113</f>
        <v>No</v>
      </c>
      <c r="N113" s="1" t="str">
        <f>IFERROR(VLOOKUP(C113,Agents!$A$2:$E$26,2,FALSE),"")</f>
        <v>Gaurav Khan</v>
      </c>
      <c r="O113" s="1" t="str">
        <f>IFERROR(INDEX(Agents!$D$2:$D$26,MATCH(C113,Agents!$A$2:$A$26,0)),"")</f>
        <v>Email Support</v>
      </c>
      <c r="P113" s="1" t="str">
        <f>IFERROR(VLOOKUP(C113,Agents!$A$2:$E$26,3,FALSE),"")</f>
        <v>Aman Verma</v>
      </c>
      <c r="Q113" s="1" t="str">
        <f>IFERROR(VLOOKUP(C113,Agents!$A$2:$E$26,5,FALSE),"")</f>
        <v>Noida</v>
      </c>
      <c r="R113" s="1">
        <f>IFERROR(VLOOKUP(F113,#REF!,2,FALSE),0)</f>
        <v>0</v>
      </c>
      <c r="S113" s="1" t="str">
        <f t="shared" si="6"/>
        <v>Breached</v>
      </c>
      <c r="T113" s="1" t="str">
        <f t="shared" si="7"/>
        <v>Late</v>
      </c>
      <c r="U113" s="1" t="str">
        <f t="shared" si="8"/>
        <v>2025-06</v>
      </c>
      <c r="V113" s="1" t="str">
        <f t="shared" si="9"/>
        <v>Average</v>
      </c>
      <c r="W113" s="1" t="str">
        <f t="shared" si="10"/>
        <v>Needs Coaching</v>
      </c>
      <c r="X113" s="1" t="str">
        <f t="shared" si="11"/>
        <v>Unique</v>
      </c>
    </row>
    <row r="114" spans="1:24" ht="15" customHeight="1">
      <c r="A114" s="1" t="str">
        <f>'Raw Tickets'!$A$114</f>
        <v>T00113</v>
      </c>
      <c r="B114" s="4">
        <f>'Raw Tickets'!$B$114</f>
        <v>45775</v>
      </c>
      <c r="C114" s="1" t="str">
        <f>'Raw Tickets'!$C$114</f>
        <v>A023</v>
      </c>
      <c r="D114" s="1" t="str">
        <f>'Raw Tickets'!$D$114</f>
        <v>Email</v>
      </c>
      <c r="E114" s="1" t="str">
        <f>'Raw Tickets'!$E$114</f>
        <v>Order Cancellation</v>
      </c>
      <c r="F114" s="1" t="str">
        <f>'Raw Tickets'!$F$114</f>
        <v>Medium</v>
      </c>
      <c r="G114" s="1">
        <f>'Raw Tickets'!$G$114</f>
        <v>25.9</v>
      </c>
      <c r="H114" s="1">
        <f>'Raw Tickets'!$H$114</f>
        <v>31</v>
      </c>
      <c r="I114" s="1">
        <f>'Raw Tickets'!$I$114</f>
        <v>4</v>
      </c>
      <c r="J114" s="6">
        <f>'Raw Tickets'!$J$114</f>
        <v>95.7</v>
      </c>
      <c r="K114" s="1" t="str">
        <f>'Raw Tickets'!$K$114</f>
        <v>Closed</v>
      </c>
      <c r="L114" s="1" t="str">
        <f>'Raw Tickets'!$L$114</f>
        <v>No</v>
      </c>
      <c r="M114" s="1" t="str">
        <f>'Raw Tickets'!$M$114</f>
        <v>Yes</v>
      </c>
      <c r="N114" s="1" t="str">
        <f>IFERROR(VLOOKUP(C114,Agents!$A$2:$E$26,2,FALSE),"")</f>
        <v>Ishita Verma</v>
      </c>
      <c r="O114" s="1" t="str">
        <f>IFERROR(INDEX(Agents!$D$2:$D$26,MATCH(C114,Agents!$A$2:$A$26,0)),"")</f>
        <v>Seller Support</v>
      </c>
      <c r="P114" s="1" t="str">
        <f>IFERROR(VLOOKUP(C114,Agents!$A$2:$E$26,3,FALSE),"")</f>
        <v>Vivek Jain</v>
      </c>
      <c r="Q114" s="1" t="str">
        <f>IFERROR(VLOOKUP(C114,Agents!$A$2:$E$26,5,FALSE),"")</f>
        <v>Noida</v>
      </c>
      <c r="R114" s="1">
        <f>IFERROR(VLOOKUP(F114,#REF!,2,FALSE),0)</f>
        <v>0</v>
      </c>
      <c r="S114" s="1" t="str">
        <f t="shared" si="6"/>
        <v>Breached</v>
      </c>
      <c r="T114" s="1" t="str">
        <f t="shared" si="7"/>
        <v>Late</v>
      </c>
      <c r="U114" s="1" t="str">
        <f t="shared" si="8"/>
        <v>2025-04</v>
      </c>
      <c r="V114" s="1" t="str">
        <f t="shared" si="9"/>
        <v>Good</v>
      </c>
      <c r="W114" s="1" t="str">
        <f t="shared" si="10"/>
        <v>Pass</v>
      </c>
      <c r="X114" s="1" t="str">
        <f t="shared" si="11"/>
        <v>Unique</v>
      </c>
    </row>
    <row r="115" spans="1:24" ht="15" customHeight="1">
      <c r="A115" s="1" t="str">
        <f>'Raw Tickets'!$A$115</f>
        <v>T00114</v>
      </c>
      <c r="B115" s="4">
        <f>'Raw Tickets'!$B$115</f>
        <v>45681</v>
      </c>
      <c r="C115" s="1" t="str">
        <f>'Raw Tickets'!$C$115</f>
        <v>A017</v>
      </c>
      <c r="D115" s="1" t="str">
        <f>'Raw Tickets'!$D$115</f>
        <v>Chat</v>
      </c>
      <c r="E115" s="1" t="str">
        <f>'Raw Tickets'!$E$115</f>
        <v>Product Quality</v>
      </c>
      <c r="F115" s="1" t="str">
        <f>'Raw Tickets'!$F$115</f>
        <v>Medium</v>
      </c>
      <c r="G115" s="1">
        <f>'Raw Tickets'!$G$115</f>
        <v>35.799999999999997</v>
      </c>
      <c r="H115" s="1">
        <f>'Raw Tickets'!$H$115</f>
        <v>24</v>
      </c>
      <c r="I115" s="1">
        <f>'Raw Tickets'!$I$115</f>
        <v>5</v>
      </c>
      <c r="J115" s="6">
        <f>'Raw Tickets'!$J$115</f>
        <v>65.900000000000006</v>
      </c>
      <c r="K115" s="1" t="str">
        <f>'Raw Tickets'!$K$115</f>
        <v>Closed</v>
      </c>
      <c r="L115" s="1" t="str">
        <f>'Raw Tickets'!$L$115</f>
        <v>No</v>
      </c>
      <c r="M115" s="1" t="str">
        <f>'Raw Tickets'!$M$115</f>
        <v>No</v>
      </c>
      <c r="N115" s="1" t="str">
        <f>IFERROR(VLOOKUP(C115,Agents!$A$2:$E$26,2,FALSE),"")</f>
        <v>Varun Mehta</v>
      </c>
      <c r="O115" s="1" t="str">
        <f>IFERROR(INDEX(Agents!$D$2:$D$26,MATCH(C115,Agents!$A$2:$A$26,0)),"")</f>
        <v>Escalations</v>
      </c>
      <c r="P115" s="1" t="str">
        <f>IFERROR(VLOOKUP(C115,Agents!$A$2:$E$26,3,FALSE),"")</f>
        <v>Pallavi Rao</v>
      </c>
      <c r="Q115" s="1" t="str">
        <f>IFERROR(VLOOKUP(C115,Agents!$A$2:$E$26,5,FALSE),"")</f>
        <v>Gurugram</v>
      </c>
      <c r="R115" s="1">
        <f>IFERROR(VLOOKUP(F115,#REF!,2,FALSE),0)</f>
        <v>0</v>
      </c>
      <c r="S115" s="1" t="str">
        <f t="shared" si="6"/>
        <v>Breached</v>
      </c>
      <c r="T115" s="1" t="str">
        <f t="shared" si="7"/>
        <v>Within Target</v>
      </c>
      <c r="U115" s="1" t="str">
        <f t="shared" si="8"/>
        <v>2025-01</v>
      </c>
      <c r="V115" s="1" t="str">
        <f t="shared" si="9"/>
        <v>Good</v>
      </c>
      <c r="W115" s="1" t="str">
        <f t="shared" si="10"/>
        <v>Needs Coaching</v>
      </c>
      <c r="X115" s="1" t="str">
        <f t="shared" si="11"/>
        <v>Unique</v>
      </c>
    </row>
    <row r="116" spans="1:24" ht="15" customHeight="1">
      <c r="A116" s="1" t="str">
        <f>'Raw Tickets'!$A$116</f>
        <v>T00115</v>
      </c>
      <c r="B116" s="4">
        <f>'Raw Tickets'!$B$116</f>
        <v>45971</v>
      </c>
      <c r="C116" s="1" t="str">
        <f>'Raw Tickets'!$C$116</f>
        <v>A002</v>
      </c>
      <c r="D116" s="1" t="str">
        <f>'Raw Tickets'!$D$116</f>
        <v>Email</v>
      </c>
      <c r="E116" s="1" t="str">
        <f>'Raw Tickets'!$E$116</f>
        <v>Payment Failure</v>
      </c>
      <c r="F116" s="1" t="str">
        <f>'Raw Tickets'!$F$116</f>
        <v>High</v>
      </c>
      <c r="G116" s="1">
        <f>'Raw Tickets'!$G$116</f>
        <v>13</v>
      </c>
      <c r="H116" s="1">
        <f>'Raw Tickets'!$H$116</f>
        <v>39</v>
      </c>
      <c r="I116" s="1">
        <f>'Raw Tickets'!$I$116</f>
        <v>4</v>
      </c>
      <c r="J116" s="6">
        <f>'Raw Tickets'!$J$116</f>
        <v>92.5</v>
      </c>
      <c r="K116" s="1" t="str">
        <f>'Raw Tickets'!$K$116</f>
        <v>Closed</v>
      </c>
      <c r="L116" s="1" t="str">
        <f>'Raw Tickets'!$L$116</f>
        <v>No</v>
      </c>
      <c r="M116" s="1" t="str">
        <f>'Raw Tickets'!$M$116</f>
        <v>Yes</v>
      </c>
      <c r="N116" s="1" t="str">
        <f>IFERROR(VLOOKUP(C116,Agents!$A$2:$E$26,2,FALSE),"")</f>
        <v>Gaurav Khan</v>
      </c>
      <c r="O116" s="1" t="str">
        <f>IFERROR(INDEX(Agents!$D$2:$D$26,MATCH(C116,Agents!$A$2:$A$26,0)),"")</f>
        <v>Email Support</v>
      </c>
      <c r="P116" s="1" t="str">
        <f>IFERROR(VLOOKUP(C116,Agents!$A$2:$E$26,3,FALSE),"")</f>
        <v>Aman Verma</v>
      </c>
      <c r="Q116" s="1" t="str">
        <f>IFERROR(VLOOKUP(C116,Agents!$A$2:$E$26,5,FALSE),"")</f>
        <v>Noida</v>
      </c>
      <c r="R116" s="1">
        <f>IFERROR(VLOOKUP(F116,#REF!,2,FALSE),0)</f>
        <v>0</v>
      </c>
      <c r="S116" s="1" t="str">
        <f t="shared" si="6"/>
        <v>Breached</v>
      </c>
      <c r="T116" s="1" t="str">
        <f t="shared" si="7"/>
        <v>Late</v>
      </c>
      <c r="U116" s="1" t="str">
        <f t="shared" si="8"/>
        <v>2025-11</v>
      </c>
      <c r="V116" s="1" t="str">
        <f t="shared" si="9"/>
        <v>Good</v>
      </c>
      <c r="W116" s="1" t="str">
        <f t="shared" si="10"/>
        <v>Pass</v>
      </c>
      <c r="X116" s="1" t="str">
        <f t="shared" si="11"/>
        <v>Unique</v>
      </c>
    </row>
    <row r="117" spans="1:24" ht="15" customHeight="1">
      <c r="A117" s="1" t="str">
        <f>'Raw Tickets'!$A$117</f>
        <v>T00116</v>
      </c>
      <c r="B117" s="4">
        <f>'Raw Tickets'!$B$117</f>
        <v>45801</v>
      </c>
      <c r="C117" s="1" t="str">
        <f>'Raw Tickets'!$C$117</f>
        <v>A019</v>
      </c>
      <c r="D117" s="1" t="str">
        <f>'Raw Tickets'!$D$117</f>
        <v>Call</v>
      </c>
      <c r="E117" s="1" t="str">
        <f>'Raw Tickets'!$E$117</f>
        <v>Order Cancellation</v>
      </c>
      <c r="F117" s="1" t="str">
        <f>'Raw Tickets'!$F$117</f>
        <v>High</v>
      </c>
      <c r="G117" s="1">
        <f>'Raw Tickets'!$G$117</f>
        <v>15.6</v>
      </c>
      <c r="H117" s="1">
        <f>'Raw Tickets'!$H$117</f>
        <v>1</v>
      </c>
      <c r="I117" s="1">
        <f>'Raw Tickets'!$I$117</f>
        <v>3</v>
      </c>
      <c r="J117" s="6">
        <f>'Raw Tickets'!$J$117</f>
        <v>93.8</v>
      </c>
      <c r="K117" s="1" t="str">
        <f>'Raw Tickets'!$K$117</f>
        <v>Closed</v>
      </c>
      <c r="L117" s="1" t="str">
        <f>'Raw Tickets'!$L$117</f>
        <v>No</v>
      </c>
      <c r="M117" s="1" t="str">
        <f>'Raw Tickets'!$M$117</f>
        <v>Yes</v>
      </c>
      <c r="N117" s="1" t="str">
        <f>IFERROR(VLOOKUP(C117,Agents!$A$2:$E$26,2,FALSE),"")</f>
        <v>Sneha Joshi</v>
      </c>
      <c r="O117" s="1" t="str">
        <f>IFERROR(INDEX(Agents!$D$2:$D$26,MATCH(C117,Agents!$A$2:$A$26,0)),"")</f>
        <v>Escalations</v>
      </c>
      <c r="P117" s="1" t="str">
        <f>IFERROR(VLOOKUP(C117,Agents!$A$2:$E$26,3,FALSE),"")</f>
        <v>Pallavi Rao</v>
      </c>
      <c r="Q117" s="1" t="str">
        <f>IFERROR(VLOOKUP(C117,Agents!$A$2:$E$26,5,FALSE),"")</f>
        <v>Hyderabad</v>
      </c>
      <c r="R117" s="1">
        <f>IFERROR(VLOOKUP(F117,#REF!,2,FALSE),0)</f>
        <v>0</v>
      </c>
      <c r="S117" s="1" t="str">
        <f t="shared" si="6"/>
        <v>Breached</v>
      </c>
      <c r="T117" s="1" t="str">
        <f t="shared" si="7"/>
        <v>Within Target</v>
      </c>
      <c r="U117" s="1" t="str">
        <f t="shared" si="8"/>
        <v>2025-05</v>
      </c>
      <c r="V117" s="1" t="str">
        <f t="shared" si="9"/>
        <v>Average</v>
      </c>
      <c r="W117" s="1" t="str">
        <f t="shared" si="10"/>
        <v>Pass</v>
      </c>
      <c r="X117" s="1" t="str">
        <f t="shared" si="11"/>
        <v>Unique</v>
      </c>
    </row>
    <row r="118" spans="1:24" ht="15" customHeight="1">
      <c r="A118" s="1" t="str">
        <f>'Raw Tickets'!$A$118</f>
        <v>T00117</v>
      </c>
      <c r="B118" s="4">
        <f>'Raw Tickets'!$B$118</f>
        <v>45661</v>
      </c>
      <c r="C118" s="1" t="str">
        <f>'Raw Tickets'!$C$118</f>
        <v>A009</v>
      </c>
      <c r="D118" s="1" t="str">
        <f>'Raw Tickets'!$D$118</f>
        <v>Chat</v>
      </c>
      <c r="E118" s="1" t="str">
        <f>'Raw Tickets'!$E$118</f>
        <v>Delivery Delay</v>
      </c>
      <c r="F118" s="1" t="str">
        <f>'Raw Tickets'!$F$118</f>
        <v>Medium</v>
      </c>
      <c r="G118" s="1">
        <f>'Raw Tickets'!$G$118</f>
        <v>15.3</v>
      </c>
      <c r="H118" s="1">
        <f>'Raw Tickets'!$H$118</f>
        <v>64</v>
      </c>
      <c r="I118" s="1">
        <f>'Raw Tickets'!$I$118</f>
        <v>4</v>
      </c>
      <c r="J118" s="6">
        <f>'Raw Tickets'!$J$118</f>
        <v>85.9</v>
      </c>
      <c r="K118" s="1" t="str">
        <f>'Raw Tickets'!$K$118</f>
        <v>Open</v>
      </c>
      <c r="L118" s="1" t="str">
        <f>'Raw Tickets'!$L$118</f>
        <v>No</v>
      </c>
      <c r="M118" s="1" t="str">
        <f>'Raw Tickets'!$M$118</f>
        <v>No</v>
      </c>
      <c r="N118" s="1" t="str">
        <f>IFERROR(VLOOKUP(C118,Agents!$A$2:$E$26,2,FALSE),"")</f>
        <v>Divya Mehta</v>
      </c>
      <c r="O118" s="1" t="str">
        <f>IFERROR(INDEX(Agents!$D$2:$D$26,MATCH(C118,Agents!$A$2:$A$26,0)),"")</f>
        <v>Voice Support</v>
      </c>
      <c r="P118" s="1" t="str">
        <f>IFERROR(VLOOKUP(C118,Agents!$A$2:$E$26,3,FALSE),"")</f>
        <v>Kritika Shah</v>
      </c>
      <c r="Q118" s="1" t="str">
        <f>IFERROR(VLOOKUP(C118,Agents!$A$2:$E$26,5,FALSE),"")</f>
        <v>Gurugram</v>
      </c>
      <c r="R118" s="1">
        <f>IFERROR(VLOOKUP(F118,#REF!,2,FALSE),0)</f>
        <v>0</v>
      </c>
      <c r="S118" s="1" t="str">
        <f t="shared" si="6"/>
        <v>Breached</v>
      </c>
      <c r="T118" s="1" t="str">
        <f t="shared" si="7"/>
        <v>Late</v>
      </c>
      <c r="U118" s="1" t="str">
        <f t="shared" si="8"/>
        <v>2025-01</v>
      </c>
      <c r="V118" s="1" t="str">
        <f t="shared" si="9"/>
        <v>Good</v>
      </c>
      <c r="W118" s="1" t="str">
        <f t="shared" si="10"/>
        <v>Pass</v>
      </c>
      <c r="X118" s="1" t="str">
        <f t="shared" si="11"/>
        <v>Unique</v>
      </c>
    </row>
    <row r="119" spans="1:24" ht="15" customHeight="1">
      <c r="A119" s="1" t="str">
        <f>'Raw Tickets'!$A$119</f>
        <v>T00118</v>
      </c>
      <c r="B119" s="4">
        <f>'Raw Tickets'!$B$119</f>
        <v>45666</v>
      </c>
      <c r="C119" s="1" t="str">
        <f>'Raw Tickets'!$C$119</f>
        <v>A025</v>
      </c>
      <c r="D119" s="1" t="str">
        <f>'Raw Tickets'!$D$119</f>
        <v>Chat</v>
      </c>
      <c r="E119" s="1" t="str">
        <f>'Raw Tickets'!$E$119</f>
        <v>Order Cancellation</v>
      </c>
      <c r="F119" s="1" t="str">
        <f>'Raw Tickets'!$F$119</f>
        <v>Low</v>
      </c>
      <c r="G119" s="1">
        <f>'Raw Tickets'!$G$119</f>
        <v>26.4</v>
      </c>
      <c r="H119" s="1">
        <f>'Raw Tickets'!$H$119</f>
        <v>66</v>
      </c>
      <c r="I119" s="1">
        <f>'Raw Tickets'!$I$119</f>
        <v>3</v>
      </c>
      <c r="J119" s="6">
        <f>'Raw Tickets'!$J$119</f>
        <v>99</v>
      </c>
      <c r="K119" s="1" t="str">
        <f>'Raw Tickets'!$K$119</f>
        <v>Closed</v>
      </c>
      <c r="L119" s="1" t="str">
        <f>'Raw Tickets'!$L$119</f>
        <v>No</v>
      </c>
      <c r="M119" s="1" t="str">
        <f>'Raw Tickets'!$M$119</f>
        <v>No</v>
      </c>
      <c r="N119" s="1" t="str">
        <f>IFERROR(VLOOKUP(C119,Agents!$A$2:$E$26,2,FALSE),"")</f>
        <v>Arjun Nair</v>
      </c>
      <c r="O119" s="1" t="str">
        <f>IFERROR(INDEX(Agents!$D$2:$D$26,MATCH(C119,Agents!$A$2:$A$26,0)),"")</f>
        <v>Seller Support</v>
      </c>
      <c r="P119" s="1" t="str">
        <f>IFERROR(VLOOKUP(C119,Agents!$A$2:$E$26,3,FALSE),"")</f>
        <v>Vivek Jain</v>
      </c>
      <c r="Q119" s="1" t="str">
        <f>IFERROR(VLOOKUP(C119,Agents!$A$2:$E$26,5,FALSE),"")</f>
        <v>Noida</v>
      </c>
      <c r="R119" s="1">
        <f>IFERROR(VLOOKUP(F119,#REF!,2,FALSE),0)</f>
        <v>0</v>
      </c>
      <c r="S119" s="1" t="str">
        <f t="shared" si="6"/>
        <v>Breached</v>
      </c>
      <c r="T119" s="1" t="str">
        <f t="shared" si="7"/>
        <v>Late</v>
      </c>
      <c r="U119" s="1" t="str">
        <f t="shared" si="8"/>
        <v>2025-01</v>
      </c>
      <c r="V119" s="1" t="str">
        <f t="shared" si="9"/>
        <v>Average</v>
      </c>
      <c r="W119" s="1" t="str">
        <f t="shared" si="10"/>
        <v>Pass</v>
      </c>
      <c r="X119" s="1" t="str">
        <f t="shared" si="11"/>
        <v>Unique</v>
      </c>
    </row>
    <row r="120" spans="1:24" ht="15" customHeight="1">
      <c r="A120" s="1" t="str">
        <f>'Raw Tickets'!$A$120</f>
        <v>T00119</v>
      </c>
      <c r="B120" s="4">
        <f>'Raw Tickets'!$B$120</f>
        <v>45908</v>
      </c>
      <c r="C120" s="1" t="str">
        <f>'Raw Tickets'!$C$120</f>
        <v>A020</v>
      </c>
      <c r="D120" s="1" t="str">
        <f>'Raw Tickets'!$D$120</f>
        <v>Email</v>
      </c>
      <c r="E120" s="1" t="str">
        <f>'Raw Tickets'!$E$120</f>
        <v>Product Quality</v>
      </c>
      <c r="F120" s="1" t="str">
        <f>'Raw Tickets'!$F$120</f>
        <v>Low</v>
      </c>
      <c r="G120" s="1">
        <f>'Raw Tickets'!$G$120</f>
        <v>27.7</v>
      </c>
      <c r="H120" s="1">
        <f>'Raw Tickets'!$H$120</f>
        <v>62</v>
      </c>
      <c r="I120" s="1">
        <f>'Raw Tickets'!$I$120</f>
        <v>4</v>
      </c>
      <c r="J120" s="6">
        <f>'Raw Tickets'!$J$120</f>
        <v>78.7</v>
      </c>
      <c r="K120" s="1" t="str">
        <f>'Raw Tickets'!$K$120</f>
        <v>Closed</v>
      </c>
      <c r="L120" s="1" t="str">
        <f>'Raw Tickets'!$L$120</f>
        <v>No</v>
      </c>
      <c r="M120" s="1" t="str">
        <f>'Raw Tickets'!$M$120</f>
        <v>No</v>
      </c>
      <c r="N120" s="1" t="str">
        <f>IFERROR(VLOOKUP(C120,Agents!$A$2:$E$26,2,FALSE),"")</f>
        <v>Aditi Bansal</v>
      </c>
      <c r="O120" s="1" t="str">
        <f>IFERROR(INDEX(Agents!$D$2:$D$26,MATCH(C120,Agents!$A$2:$A$26,0)),"")</f>
        <v>Escalations</v>
      </c>
      <c r="P120" s="1" t="str">
        <f>IFERROR(VLOOKUP(C120,Agents!$A$2:$E$26,3,FALSE),"")</f>
        <v>Pallavi Rao</v>
      </c>
      <c r="Q120" s="1" t="str">
        <f>IFERROR(VLOOKUP(C120,Agents!$A$2:$E$26,5,FALSE),"")</f>
        <v>Noida</v>
      </c>
      <c r="R120" s="1">
        <f>IFERROR(VLOOKUP(F120,#REF!,2,FALSE),0)</f>
        <v>0</v>
      </c>
      <c r="S120" s="1" t="str">
        <f t="shared" si="6"/>
        <v>Breached</v>
      </c>
      <c r="T120" s="1" t="str">
        <f t="shared" si="7"/>
        <v>Late</v>
      </c>
      <c r="U120" s="1" t="str">
        <f t="shared" si="8"/>
        <v>2025-09</v>
      </c>
      <c r="V120" s="1" t="str">
        <f t="shared" si="9"/>
        <v>Good</v>
      </c>
      <c r="W120" s="1" t="str">
        <f t="shared" si="10"/>
        <v>Needs Coaching</v>
      </c>
      <c r="X120" s="1" t="str">
        <f t="shared" si="11"/>
        <v>Unique</v>
      </c>
    </row>
    <row r="121" spans="1:24" ht="15" customHeight="1">
      <c r="A121" s="1" t="str">
        <f>'Raw Tickets'!$A$121</f>
        <v>T00120</v>
      </c>
      <c r="B121" s="4">
        <f>'Raw Tickets'!$B$121</f>
        <v>45953</v>
      </c>
      <c r="C121" s="1" t="str">
        <f>'Raw Tickets'!$C$121</f>
        <v>A008</v>
      </c>
      <c r="D121" s="1" t="str">
        <f>'Raw Tickets'!$D$121</f>
        <v>Email</v>
      </c>
      <c r="E121" s="1" t="str">
        <f>'Raw Tickets'!$E$121</f>
        <v>Payment Failure</v>
      </c>
      <c r="F121" s="1" t="str">
        <f>'Raw Tickets'!$F$121</f>
        <v>Medium</v>
      </c>
      <c r="G121" s="1">
        <f>'Raw Tickets'!$G$121</f>
        <v>35.5</v>
      </c>
      <c r="H121" s="1">
        <f>'Raw Tickets'!$H$121</f>
        <v>1</v>
      </c>
      <c r="I121" s="1">
        <f>'Raw Tickets'!$I$121</f>
        <v>4</v>
      </c>
      <c r="J121" s="6">
        <f>'Raw Tickets'!$J$121</f>
        <v>87.7</v>
      </c>
      <c r="K121" s="1" t="str">
        <f>'Raw Tickets'!$K$121</f>
        <v>Closed</v>
      </c>
      <c r="L121" s="1" t="str">
        <f>'Raw Tickets'!$L$121</f>
        <v>No</v>
      </c>
      <c r="M121" s="1" t="str">
        <f>'Raw Tickets'!$M$121</f>
        <v>No</v>
      </c>
      <c r="N121" s="1" t="str">
        <f>IFERROR(VLOOKUP(C121,Agents!$A$2:$E$26,2,FALSE),"")</f>
        <v>Ananya Mishra</v>
      </c>
      <c r="O121" s="1" t="str">
        <f>IFERROR(INDEX(Agents!$D$2:$D$26,MATCH(C121,Agents!$A$2:$A$26,0)),"")</f>
        <v>Voice Support</v>
      </c>
      <c r="P121" s="1" t="str">
        <f>IFERROR(VLOOKUP(C121,Agents!$A$2:$E$26,3,FALSE),"")</f>
        <v>Kritika Shah</v>
      </c>
      <c r="Q121" s="1" t="str">
        <f>IFERROR(VLOOKUP(C121,Agents!$A$2:$E$26,5,FALSE),"")</f>
        <v>Hyderabad</v>
      </c>
      <c r="R121" s="1">
        <f>IFERROR(VLOOKUP(F121,#REF!,2,FALSE),0)</f>
        <v>0</v>
      </c>
      <c r="S121" s="1" t="str">
        <f t="shared" si="6"/>
        <v>Breached</v>
      </c>
      <c r="T121" s="1" t="str">
        <f t="shared" si="7"/>
        <v>Within Target</v>
      </c>
      <c r="U121" s="1" t="str">
        <f t="shared" si="8"/>
        <v>2025-10</v>
      </c>
      <c r="V121" s="1" t="str">
        <f t="shared" si="9"/>
        <v>Good</v>
      </c>
      <c r="W121" s="1" t="str">
        <f t="shared" si="10"/>
        <v>Pass</v>
      </c>
      <c r="X121" s="1" t="str">
        <f t="shared" si="11"/>
        <v>Unique</v>
      </c>
    </row>
    <row r="122" spans="1:24" ht="15" customHeight="1">
      <c r="A122" s="1" t="str">
        <f>'Raw Tickets'!$A$122</f>
        <v>T00121</v>
      </c>
      <c r="B122" s="4">
        <f>'Raw Tickets'!$B$122</f>
        <v>45897</v>
      </c>
      <c r="C122" s="1" t="str">
        <f>'Raw Tickets'!$C$122</f>
        <v>A025</v>
      </c>
      <c r="D122" s="1" t="str">
        <f>'Raw Tickets'!$D$122</f>
        <v>Call</v>
      </c>
      <c r="E122" s="1" t="str">
        <f>'Raw Tickets'!$E$122</f>
        <v>Payment Failure</v>
      </c>
      <c r="F122" s="1" t="str">
        <f>'Raw Tickets'!$F$122</f>
        <v>Medium</v>
      </c>
      <c r="G122" s="1">
        <f>'Raw Tickets'!$G$122</f>
        <v>14</v>
      </c>
      <c r="H122" s="1">
        <f>'Raw Tickets'!$H$122</f>
        <v>41</v>
      </c>
      <c r="I122" s="1">
        <f>'Raw Tickets'!$I$122</f>
        <v>4</v>
      </c>
      <c r="J122" s="6">
        <f>'Raw Tickets'!$J$122</f>
        <v>81.099999999999994</v>
      </c>
      <c r="K122" s="1" t="str">
        <f>'Raw Tickets'!$K$122</f>
        <v>Closed</v>
      </c>
      <c r="L122" s="1" t="str">
        <f>'Raw Tickets'!$L$122</f>
        <v>No</v>
      </c>
      <c r="M122" s="1" t="str">
        <f>'Raw Tickets'!$M$122</f>
        <v>No</v>
      </c>
      <c r="N122" s="1" t="str">
        <f>IFERROR(VLOOKUP(C122,Agents!$A$2:$E$26,2,FALSE),"")</f>
        <v>Arjun Nair</v>
      </c>
      <c r="O122" s="1" t="str">
        <f>IFERROR(INDEX(Agents!$D$2:$D$26,MATCH(C122,Agents!$A$2:$A$26,0)),"")</f>
        <v>Seller Support</v>
      </c>
      <c r="P122" s="1" t="str">
        <f>IFERROR(VLOOKUP(C122,Agents!$A$2:$E$26,3,FALSE),"")</f>
        <v>Vivek Jain</v>
      </c>
      <c r="Q122" s="1" t="str">
        <f>IFERROR(VLOOKUP(C122,Agents!$A$2:$E$26,5,FALSE),"")</f>
        <v>Noida</v>
      </c>
      <c r="R122" s="1">
        <f>IFERROR(VLOOKUP(F122,#REF!,2,FALSE),0)</f>
        <v>0</v>
      </c>
      <c r="S122" s="1" t="str">
        <f t="shared" si="6"/>
        <v>Breached</v>
      </c>
      <c r="T122" s="1" t="str">
        <f t="shared" si="7"/>
        <v>Late</v>
      </c>
      <c r="U122" s="1" t="str">
        <f t="shared" si="8"/>
        <v>2025-08</v>
      </c>
      <c r="V122" s="1" t="str">
        <f t="shared" si="9"/>
        <v>Good</v>
      </c>
      <c r="W122" s="1" t="str">
        <f t="shared" si="10"/>
        <v>Needs Coaching</v>
      </c>
      <c r="X122" s="1" t="str">
        <f t="shared" si="11"/>
        <v>Unique</v>
      </c>
    </row>
    <row r="123" spans="1:24" ht="15" customHeight="1">
      <c r="A123" s="1" t="str">
        <f>'Raw Tickets'!$A$123</f>
        <v>T00122</v>
      </c>
      <c r="B123" s="4">
        <f>'Raw Tickets'!$B$123</f>
        <v>45991</v>
      </c>
      <c r="C123" s="1" t="str">
        <f>'Raw Tickets'!$C$123</f>
        <v>A002</v>
      </c>
      <c r="D123" s="1" t="str">
        <f>'Raw Tickets'!$D$123</f>
        <v>Chat</v>
      </c>
      <c r="E123" s="1" t="str">
        <f>'Raw Tickets'!$E$123</f>
        <v>Refund</v>
      </c>
      <c r="F123" s="1" t="str">
        <f>'Raw Tickets'!$F$123</f>
        <v>Medium</v>
      </c>
      <c r="G123" s="1">
        <f>'Raw Tickets'!$G$123</f>
        <v>23.1</v>
      </c>
      <c r="H123" s="1">
        <f>'Raw Tickets'!$H$123</f>
        <v>32</v>
      </c>
      <c r="I123" s="1">
        <f>'Raw Tickets'!$I$123</f>
        <v>3</v>
      </c>
      <c r="J123" s="6">
        <f>'Raw Tickets'!$J$123</f>
        <v>91.7</v>
      </c>
      <c r="K123" s="1" t="str">
        <f>'Raw Tickets'!$K$123</f>
        <v>Open</v>
      </c>
      <c r="L123" s="1" t="str">
        <f>'Raw Tickets'!$L$123</f>
        <v>No</v>
      </c>
      <c r="M123" s="1" t="str">
        <f>'Raw Tickets'!$M$123</f>
        <v>No</v>
      </c>
      <c r="N123" s="1" t="str">
        <f>IFERROR(VLOOKUP(C123,Agents!$A$2:$E$26,2,FALSE),"")</f>
        <v>Gaurav Khan</v>
      </c>
      <c r="O123" s="1" t="str">
        <f>IFERROR(INDEX(Agents!$D$2:$D$26,MATCH(C123,Agents!$A$2:$A$26,0)),"")</f>
        <v>Email Support</v>
      </c>
      <c r="P123" s="1" t="str">
        <f>IFERROR(VLOOKUP(C123,Agents!$A$2:$E$26,3,FALSE),"")</f>
        <v>Aman Verma</v>
      </c>
      <c r="Q123" s="1" t="str">
        <f>IFERROR(VLOOKUP(C123,Agents!$A$2:$E$26,5,FALSE),"")</f>
        <v>Noida</v>
      </c>
      <c r="R123" s="1">
        <f>IFERROR(VLOOKUP(F123,#REF!,2,FALSE),0)</f>
        <v>0</v>
      </c>
      <c r="S123" s="1" t="str">
        <f t="shared" si="6"/>
        <v>Breached</v>
      </c>
      <c r="T123" s="1" t="str">
        <f t="shared" si="7"/>
        <v>Late</v>
      </c>
      <c r="U123" s="1" t="str">
        <f t="shared" si="8"/>
        <v>2025-11</v>
      </c>
      <c r="V123" s="1" t="str">
        <f t="shared" si="9"/>
        <v>Average</v>
      </c>
      <c r="W123" s="1" t="str">
        <f t="shared" si="10"/>
        <v>Pass</v>
      </c>
      <c r="X123" s="1" t="str">
        <f t="shared" si="11"/>
        <v>Unique</v>
      </c>
    </row>
    <row r="124" spans="1:24" ht="15" customHeight="1">
      <c r="A124" s="1" t="str">
        <f>'Raw Tickets'!$A$124</f>
        <v>T00123</v>
      </c>
      <c r="B124" s="4">
        <f>'Raw Tickets'!$B$124</f>
        <v>45703</v>
      </c>
      <c r="C124" s="1" t="str">
        <f>'Raw Tickets'!$C$124</f>
        <v>A015</v>
      </c>
      <c r="D124" s="1" t="str">
        <f>'Raw Tickets'!$D$124</f>
        <v>Chat</v>
      </c>
      <c r="E124" s="1" t="str">
        <f>'Raw Tickets'!$E$124</f>
        <v>Refund</v>
      </c>
      <c r="F124" s="1" t="str">
        <f>'Raw Tickets'!$F$124</f>
        <v>Medium</v>
      </c>
      <c r="G124" s="1">
        <f>'Raw Tickets'!$G$124</f>
        <v>11.7</v>
      </c>
      <c r="H124" s="1">
        <f>'Raw Tickets'!$H$124</f>
        <v>91</v>
      </c>
      <c r="I124" s="1">
        <f>'Raw Tickets'!$I$124</f>
        <v>1</v>
      </c>
      <c r="J124" s="6">
        <f>'Raw Tickets'!$J$124</f>
        <v>92.4</v>
      </c>
      <c r="K124" s="1" t="str">
        <f>'Raw Tickets'!$K$124</f>
        <v>Closed</v>
      </c>
      <c r="L124" s="1" t="str">
        <f>'Raw Tickets'!$L$124</f>
        <v>No</v>
      </c>
      <c r="M124" s="1" t="str">
        <f>'Raw Tickets'!$M$124</f>
        <v>No</v>
      </c>
      <c r="N124" s="1" t="str">
        <f>IFERROR(VLOOKUP(C124,Agents!$A$2:$E$26,2,FALSE),"")</f>
        <v>Neha Jain</v>
      </c>
      <c r="O124" s="1" t="str">
        <f>IFERROR(INDEX(Agents!$D$2:$D$26,MATCH(C124,Agents!$A$2:$A$26,0)),"")</f>
        <v>Chat Support</v>
      </c>
      <c r="P124" s="1" t="str">
        <f>IFERROR(VLOOKUP(C124,Agents!$A$2:$E$26,3,FALSE),"")</f>
        <v>Nitin Gupta</v>
      </c>
      <c r="Q124" s="1" t="str">
        <f>IFERROR(VLOOKUP(C124,Agents!$A$2:$E$26,5,FALSE),"")</f>
        <v>Bengaluru</v>
      </c>
      <c r="R124" s="1">
        <f>IFERROR(VLOOKUP(F124,#REF!,2,FALSE),0)</f>
        <v>0</v>
      </c>
      <c r="S124" s="1" t="str">
        <f t="shared" si="6"/>
        <v>Breached</v>
      </c>
      <c r="T124" s="1" t="str">
        <f t="shared" si="7"/>
        <v>Late</v>
      </c>
      <c r="U124" s="1" t="str">
        <f t="shared" si="8"/>
        <v>2025-02</v>
      </c>
      <c r="V124" s="1" t="str">
        <f t="shared" si="9"/>
        <v>Poor</v>
      </c>
      <c r="W124" s="1" t="str">
        <f t="shared" si="10"/>
        <v>Pass</v>
      </c>
      <c r="X124" s="1" t="str">
        <f t="shared" si="11"/>
        <v>Unique</v>
      </c>
    </row>
    <row r="125" spans="1:24" ht="15" customHeight="1">
      <c r="A125" s="1" t="str">
        <f>'Raw Tickets'!$A$125</f>
        <v>T00124</v>
      </c>
      <c r="B125" s="4">
        <f>'Raw Tickets'!$B$125</f>
        <v>45847</v>
      </c>
      <c r="C125" s="1" t="str">
        <f>'Raw Tickets'!$C$125</f>
        <v>A014</v>
      </c>
      <c r="D125" s="1" t="str">
        <f>'Raw Tickets'!$D$125</f>
        <v>Chat</v>
      </c>
      <c r="E125" s="1" t="str">
        <f>'Raw Tickets'!$E$125</f>
        <v>Payment Failure</v>
      </c>
      <c r="F125" s="1" t="str">
        <f>'Raw Tickets'!$F$125</f>
        <v>Low</v>
      </c>
      <c r="G125" s="1">
        <f>'Raw Tickets'!$G$125</f>
        <v>50.6</v>
      </c>
      <c r="H125" s="1">
        <f>'Raw Tickets'!$H$125</f>
        <v>67</v>
      </c>
      <c r="I125" s="1">
        <f>'Raw Tickets'!$I$125</f>
        <v>4</v>
      </c>
      <c r="J125" s="6">
        <f>'Raw Tickets'!$J$125</f>
        <v>94.2</v>
      </c>
      <c r="K125" s="1" t="str">
        <f>'Raw Tickets'!$K$125</f>
        <v>Closed</v>
      </c>
      <c r="L125" s="1" t="str">
        <f>'Raw Tickets'!$L$125</f>
        <v>No</v>
      </c>
      <c r="M125" s="1" t="str">
        <f>'Raw Tickets'!$M$125</f>
        <v>Yes</v>
      </c>
      <c r="N125" s="1" t="str">
        <f>IFERROR(VLOOKUP(C125,Agents!$A$2:$E$26,2,FALSE),"")</f>
        <v>Ananya Jain</v>
      </c>
      <c r="O125" s="1" t="str">
        <f>IFERROR(INDEX(Agents!$D$2:$D$26,MATCH(C125,Agents!$A$2:$A$26,0)),"")</f>
        <v>Chat Support</v>
      </c>
      <c r="P125" s="1" t="str">
        <f>IFERROR(VLOOKUP(C125,Agents!$A$2:$E$26,3,FALSE),"")</f>
        <v>Nitin Gupta</v>
      </c>
      <c r="Q125" s="1" t="str">
        <f>IFERROR(VLOOKUP(C125,Agents!$A$2:$E$26,5,FALSE),"")</f>
        <v>Bengaluru</v>
      </c>
      <c r="R125" s="1">
        <f>IFERROR(VLOOKUP(F125,#REF!,2,FALSE),0)</f>
        <v>0</v>
      </c>
      <c r="S125" s="1" t="str">
        <f t="shared" si="6"/>
        <v>Breached</v>
      </c>
      <c r="T125" s="1" t="str">
        <f t="shared" si="7"/>
        <v>Late</v>
      </c>
      <c r="U125" s="1" t="str">
        <f t="shared" si="8"/>
        <v>2025-07</v>
      </c>
      <c r="V125" s="1" t="str">
        <f t="shared" si="9"/>
        <v>Good</v>
      </c>
      <c r="W125" s="1" t="str">
        <f t="shared" si="10"/>
        <v>Pass</v>
      </c>
      <c r="X125" s="1" t="str">
        <f t="shared" si="11"/>
        <v>Unique</v>
      </c>
    </row>
    <row r="126" spans="1:24" ht="15" customHeight="1">
      <c r="A126" s="1" t="str">
        <f>'Raw Tickets'!$A$126</f>
        <v>T00125</v>
      </c>
      <c r="B126" s="4">
        <f>'Raw Tickets'!$B$126</f>
        <v>45886</v>
      </c>
      <c r="C126" s="1" t="str">
        <f>'Raw Tickets'!$C$126</f>
        <v>A009</v>
      </c>
      <c r="D126" s="1" t="str">
        <f>'Raw Tickets'!$D$126</f>
        <v>Email</v>
      </c>
      <c r="E126" s="1" t="str">
        <f>'Raw Tickets'!$E$126</f>
        <v>Order Cancellation</v>
      </c>
      <c r="F126" s="1" t="str">
        <f>'Raw Tickets'!$F$126</f>
        <v>Low</v>
      </c>
      <c r="G126" s="1">
        <f>'Raw Tickets'!$G$126</f>
        <v>6</v>
      </c>
      <c r="H126" s="1">
        <f>'Raw Tickets'!$H$126</f>
        <v>15</v>
      </c>
      <c r="I126" s="1">
        <f>'Raw Tickets'!$I$126</f>
        <v>4</v>
      </c>
      <c r="J126" s="6">
        <f>'Raw Tickets'!$J$126</f>
        <v>80.099999999999994</v>
      </c>
      <c r="K126" s="1" t="str">
        <f>'Raw Tickets'!$K$126</f>
        <v>Closed</v>
      </c>
      <c r="L126" s="1" t="str">
        <f>'Raw Tickets'!$L$126</f>
        <v>No</v>
      </c>
      <c r="M126" s="1" t="str">
        <f>'Raw Tickets'!$M$126</f>
        <v>No</v>
      </c>
      <c r="N126" s="1" t="str">
        <f>IFERROR(VLOOKUP(C126,Agents!$A$2:$E$26,2,FALSE),"")</f>
        <v>Divya Mehta</v>
      </c>
      <c r="O126" s="1" t="str">
        <f>IFERROR(INDEX(Agents!$D$2:$D$26,MATCH(C126,Agents!$A$2:$A$26,0)),"")</f>
        <v>Voice Support</v>
      </c>
      <c r="P126" s="1" t="str">
        <f>IFERROR(VLOOKUP(C126,Agents!$A$2:$E$26,3,FALSE),"")</f>
        <v>Kritika Shah</v>
      </c>
      <c r="Q126" s="1" t="str">
        <f>IFERROR(VLOOKUP(C126,Agents!$A$2:$E$26,5,FALSE),"")</f>
        <v>Gurugram</v>
      </c>
      <c r="R126" s="1">
        <f>IFERROR(VLOOKUP(F126,#REF!,2,FALSE),0)</f>
        <v>0</v>
      </c>
      <c r="S126" s="1" t="str">
        <f t="shared" si="6"/>
        <v>Breached</v>
      </c>
      <c r="T126" s="1" t="str">
        <f t="shared" si="7"/>
        <v>Within Target</v>
      </c>
      <c r="U126" s="1" t="str">
        <f t="shared" si="8"/>
        <v>2025-08</v>
      </c>
      <c r="V126" s="1" t="str">
        <f t="shared" si="9"/>
        <v>Good</v>
      </c>
      <c r="W126" s="1" t="str">
        <f t="shared" si="10"/>
        <v>Needs Coaching</v>
      </c>
      <c r="X126" s="1" t="str">
        <f t="shared" si="11"/>
        <v>Unique</v>
      </c>
    </row>
    <row r="127" spans="1:24" ht="15" customHeight="1">
      <c r="A127" s="1" t="str">
        <f>'Raw Tickets'!$A$127</f>
        <v>T00126</v>
      </c>
      <c r="B127" s="4">
        <f>'Raw Tickets'!$B$127</f>
        <v>45876</v>
      </c>
      <c r="C127" s="1" t="str">
        <f>'Raw Tickets'!$C$127</f>
        <v>A004</v>
      </c>
      <c r="D127" s="1" t="str">
        <f>'Raw Tickets'!$D$127</f>
        <v>Email</v>
      </c>
      <c r="E127" s="1" t="str">
        <f>'Raw Tickets'!$E$127</f>
        <v>Payment Failure</v>
      </c>
      <c r="F127" s="1" t="str">
        <f>'Raw Tickets'!$F$127</f>
        <v>Medium</v>
      </c>
      <c r="G127" s="1">
        <f>'Raw Tickets'!$G$127</f>
        <v>21.3</v>
      </c>
      <c r="H127" s="1">
        <f>'Raw Tickets'!$H$127</f>
        <v>31</v>
      </c>
      <c r="I127" s="1">
        <f>'Raw Tickets'!$I$127</f>
        <v>4</v>
      </c>
      <c r="J127" s="6">
        <f>'Raw Tickets'!$J$127</f>
        <v>91.4</v>
      </c>
      <c r="K127" s="1" t="str">
        <f>'Raw Tickets'!$K$127</f>
        <v>Closed</v>
      </c>
      <c r="L127" s="1" t="str">
        <f>'Raw Tickets'!$L$127</f>
        <v>No</v>
      </c>
      <c r="M127" s="1" t="str">
        <f>'Raw Tickets'!$M$127</f>
        <v>No</v>
      </c>
      <c r="N127" s="1" t="str">
        <f>IFERROR(VLOOKUP(C127,Agents!$A$2:$E$26,2,FALSE),"")</f>
        <v>Arjun Agarwal</v>
      </c>
      <c r="O127" s="1" t="str">
        <f>IFERROR(INDEX(Agents!$D$2:$D$26,MATCH(C127,Agents!$A$2:$A$26,0)),"")</f>
        <v>Email Support</v>
      </c>
      <c r="P127" s="1" t="str">
        <f>IFERROR(VLOOKUP(C127,Agents!$A$2:$E$26,3,FALSE),"")</f>
        <v>Aman Verma</v>
      </c>
      <c r="Q127" s="1" t="str">
        <f>IFERROR(VLOOKUP(C127,Agents!$A$2:$E$26,5,FALSE),"")</f>
        <v>Bengaluru</v>
      </c>
      <c r="R127" s="1">
        <f>IFERROR(VLOOKUP(F127,#REF!,2,FALSE),0)</f>
        <v>0</v>
      </c>
      <c r="S127" s="1" t="str">
        <f t="shared" si="6"/>
        <v>Breached</v>
      </c>
      <c r="T127" s="1" t="str">
        <f t="shared" si="7"/>
        <v>Late</v>
      </c>
      <c r="U127" s="1" t="str">
        <f t="shared" si="8"/>
        <v>2025-08</v>
      </c>
      <c r="V127" s="1" t="str">
        <f t="shared" si="9"/>
        <v>Good</v>
      </c>
      <c r="W127" s="1" t="str">
        <f t="shared" si="10"/>
        <v>Pass</v>
      </c>
      <c r="X127" s="1" t="str">
        <f t="shared" si="11"/>
        <v>Unique</v>
      </c>
    </row>
    <row r="128" spans="1:24" ht="15" customHeight="1">
      <c r="A128" s="1" t="str">
        <f>'Raw Tickets'!$A$128</f>
        <v>T00127</v>
      </c>
      <c r="B128" s="4">
        <f>'Raw Tickets'!$B$128</f>
        <v>45788</v>
      </c>
      <c r="C128" s="1" t="str">
        <f>'Raw Tickets'!$C$128</f>
        <v>A023</v>
      </c>
      <c r="D128" s="1" t="str">
        <f>'Raw Tickets'!$D$128</f>
        <v>Chat</v>
      </c>
      <c r="E128" s="1" t="str">
        <f>'Raw Tickets'!$E$128</f>
        <v>Refund</v>
      </c>
      <c r="F128" s="1" t="str">
        <f>'Raw Tickets'!$F$128</f>
        <v>Medium</v>
      </c>
      <c r="G128" s="1">
        <f>'Raw Tickets'!$G$128</f>
        <v>22.6</v>
      </c>
      <c r="H128" s="1">
        <f>'Raw Tickets'!$H$128</f>
        <v>16</v>
      </c>
      <c r="I128" s="1">
        <f>'Raw Tickets'!$I$128</f>
        <v>5</v>
      </c>
      <c r="J128" s="6">
        <f>'Raw Tickets'!$J$128</f>
        <v>89.7</v>
      </c>
      <c r="K128" s="1" t="str">
        <f>'Raw Tickets'!$K$128</f>
        <v>Closed</v>
      </c>
      <c r="L128" s="1" t="str">
        <f>'Raw Tickets'!$L$128</f>
        <v>No</v>
      </c>
      <c r="M128" s="1" t="str">
        <f>'Raw Tickets'!$M$128</f>
        <v>No</v>
      </c>
      <c r="N128" s="1" t="str">
        <f>IFERROR(VLOOKUP(C128,Agents!$A$2:$E$26,2,FALSE),"")</f>
        <v>Ishita Verma</v>
      </c>
      <c r="O128" s="1" t="str">
        <f>IFERROR(INDEX(Agents!$D$2:$D$26,MATCH(C128,Agents!$A$2:$A$26,0)),"")</f>
        <v>Seller Support</v>
      </c>
      <c r="P128" s="1" t="str">
        <f>IFERROR(VLOOKUP(C128,Agents!$A$2:$E$26,3,FALSE),"")</f>
        <v>Vivek Jain</v>
      </c>
      <c r="Q128" s="1" t="str">
        <f>IFERROR(VLOOKUP(C128,Agents!$A$2:$E$26,5,FALSE),"")</f>
        <v>Noida</v>
      </c>
      <c r="R128" s="1">
        <f>IFERROR(VLOOKUP(F128,#REF!,2,FALSE),0)</f>
        <v>0</v>
      </c>
      <c r="S128" s="1" t="str">
        <f t="shared" si="6"/>
        <v>Breached</v>
      </c>
      <c r="T128" s="1" t="str">
        <f t="shared" si="7"/>
        <v>Within Target</v>
      </c>
      <c r="U128" s="1" t="str">
        <f t="shared" si="8"/>
        <v>2025-05</v>
      </c>
      <c r="V128" s="1" t="str">
        <f t="shared" si="9"/>
        <v>Good</v>
      </c>
      <c r="W128" s="1" t="str">
        <f t="shared" si="10"/>
        <v>Pass</v>
      </c>
      <c r="X128" s="1" t="str">
        <f t="shared" si="11"/>
        <v>Unique</v>
      </c>
    </row>
    <row r="129" spans="1:24" ht="15" customHeight="1">
      <c r="A129" s="1" t="str">
        <f>'Raw Tickets'!$A$129</f>
        <v>T00128</v>
      </c>
      <c r="B129" s="4">
        <f>'Raw Tickets'!$B$129</f>
        <v>45985</v>
      </c>
      <c r="C129" s="1" t="str">
        <f>'Raw Tickets'!$C$129</f>
        <v>A024</v>
      </c>
      <c r="D129" s="1" t="str">
        <f>'Raw Tickets'!$D$129</f>
        <v>Email</v>
      </c>
      <c r="E129" s="1" t="str">
        <f>'Raw Tickets'!$E$129</f>
        <v>Product Quality</v>
      </c>
      <c r="F129" s="1" t="str">
        <f>'Raw Tickets'!$F$129</f>
        <v>High</v>
      </c>
      <c r="G129" s="1">
        <f>'Raw Tickets'!$G$129</f>
        <v>18.7</v>
      </c>
      <c r="H129" s="1">
        <f>'Raw Tickets'!$H$129</f>
        <v>29</v>
      </c>
      <c r="I129" s="1">
        <f>'Raw Tickets'!$I$129</f>
        <v>3</v>
      </c>
      <c r="J129" s="6">
        <f>'Raw Tickets'!$J$129</f>
        <v>83</v>
      </c>
      <c r="K129" s="1" t="str">
        <f>'Raw Tickets'!$K$129</f>
        <v>Closed</v>
      </c>
      <c r="L129" s="1" t="str">
        <f>'Raw Tickets'!$L$129</f>
        <v>No</v>
      </c>
      <c r="M129" s="1" t="str">
        <f>'Raw Tickets'!$M$129</f>
        <v>No</v>
      </c>
      <c r="N129" s="1" t="str">
        <f>IFERROR(VLOOKUP(C129,Agents!$A$2:$E$26,2,FALSE),"")</f>
        <v>Rohan Verma</v>
      </c>
      <c r="O129" s="1" t="str">
        <f>IFERROR(INDEX(Agents!$D$2:$D$26,MATCH(C129,Agents!$A$2:$A$26,0)),"")</f>
        <v>Seller Support</v>
      </c>
      <c r="P129" s="1" t="str">
        <f>IFERROR(VLOOKUP(C129,Agents!$A$2:$E$26,3,FALSE),"")</f>
        <v>Vivek Jain</v>
      </c>
      <c r="Q129" s="1" t="str">
        <f>IFERROR(VLOOKUP(C129,Agents!$A$2:$E$26,5,FALSE),"")</f>
        <v>Noida</v>
      </c>
      <c r="R129" s="1">
        <f>IFERROR(VLOOKUP(F129,#REF!,2,FALSE),0)</f>
        <v>0</v>
      </c>
      <c r="S129" s="1" t="str">
        <f t="shared" si="6"/>
        <v>Breached</v>
      </c>
      <c r="T129" s="1" t="str">
        <f t="shared" si="7"/>
        <v>Within Target</v>
      </c>
      <c r="U129" s="1" t="str">
        <f t="shared" si="8"/>
        <v>2025-11</v>
      </c>
      <c r="V129" s="1" t="str">
        <f t="shared" si="9"/>
        <v>Average</v>
      </c>
      <c r="W129" s="1" t="str">
        <f t="shared" si="10"/>
        <v>Needs Coaching</v>
      </c>
      <c r="X129" s="1" t="str">
        <f t="shared" si="11"/>
        <v>Unique</v>
      </c>
    </row>
    <row r="130" spans="1:24" ht="15" customHeight="1">
      <c r="A130" s="1" t="str">
        <f>'Raw Tickets'!$A$130</f>
        <v>T00129</v>
      </c>
      <c r="B130" s="4">
        <f>'Raw Tickets'!$B$130</f>
        <v>45854</v>
      </c>
      <c r="C130" s="1" t="str">
        <f>'Raw Tickets'!$C$130</f>
        <v>A003</v>
      </c>
      <c r="D130" s="1" t="str">
        <f>'Raw Tickets'!$D$130</f>
        <v>Chat</v>
      </c>
      <c r="E130" s="1" t="str">
        <f>'Raw Tickets'!$E$130</f>
        <v>Product Quality</v>
      </c>
      <c r="F130" s="1" t="str">
        <f>'Raw Tickets'!$F$130</f>
        <v>Medium</v>
      </c>
      <c r="G130" s="1">
        <f>'Raw Tickets'!$G$130</f>
        <v>19.8</v>
      </c>
      <c r="H130" s="1">
        <f>'Raw Tickets'!$H$130</f>
        <v>11</v>
      </c>
      <c r="I130" s="1">
        <f>'Raw Tickets'!$I$130</f>
        <v>2</v>
      </c>
      <c r="J130" s="6">
        <f>'Raw Tickets'!$J$130</f>
        <v>91.2</v>
      </c>
      <c r="K130" s="1" t="str">
        <f>'Raw Tickets'!$K$130</f>
        <v>Closed</v>
      </c>
      <c r="L130" s="1" t="str">
        <f>'Raw Tickets'!$L$130</f>
        <v>No</v>
      </c>
      <c r="M130" s="1" t="str">
        <f>'Raw Tickets'!$M$130</f>
        <v>No</v>
      </c>
      <c r="N130" s="1" t="str">
        <f>IFERROR(VLOOKUP(C130,Agents!$A$2:$E$26,2,FALSE),"")</f>
        <v>Kabir Verma</v>
      </c>
      <c r="O130" s="1" t="str">
        <f>IFERROR(INDEX(Agents!$D$2:$D$26,MATCH(C130,Agents!$A$2:$A$26,0)),"")</f>
        <v>Email Support</v>
      </c>
      <c r="P130" s="1" t="str">
        <f>IFERROR(VLOOKUP(C130,Agents!$A$2:$E$26,3,FALSE),"")</f>
        <v>Aman Verma</v>
      </c>
      <c r="Q130" s="1" t="str">
        <f>IFERROR(VLOOKUP(C130,Agents!$A$2:$E$26,5,FALSE),"")</f>
        <v>Gurugram</v>
      </c>
      <c r="R130" s="1">
        <f>IFERROR(VLOOKUP(F130,#REF!,2,FALSE),0)</f>
        <v>0</v>
      </c>
      <c r="S130" s="1" t="str">
        <f t="shared" ref="S130:S193" si="12">IF(G130&lt;=R130,"Met","Breached")</f>
        <v>Breached</v>
      </c>
      <c r="T130" s="1" t="str">
        <f t="shared" ref="T130:T193" si="13">IF(H130&lt;=30,"Within Target","Late")</f>
        <v>Within Target</v>
      </c>
      <c r="U130" s="1" t="str">
        <f t="shared" ref="U130:U193" si="14">TEXT(B130,"yyyy-mm")</f>
        <v>2025-07</v>
      </c>
      <c r="V130" s="1" t="str">
        <f t="shared" ref="V130:V193" si="15">IF(I130&gt;=4,"Good",IF(I130=3,"Average","Poor"))</f>
        <v>Poor</v>
      </c>
      <c r="W130" s="1" t="str">
        <f t="shared" ref="W130:W193" si="16">IF(J130&gt;=85,"Pass","Needs Coaching")</f>
        <v>Pass</v>
      </c>
      <c r="X130" s="1" t="str">
        <f t="shared" ref="X130:X193" si="17">IF(COUNTIF($A$2:$A$501,A130)&gt;1,"Duplicate","Unique")</f>
        <v>Unique</v>
      </c>
    </row>
    <row r="131" spans="1:24" ht="15" customHeight="1">
      <c r="A131" s="1" t="str">
        <f>'Raw Tickets'!$A$131</f>
        <v>T00130</v>
      </c>
      <c r="B131" s="4">
        <f>'Raw Tickets'!$B$131</f>
        <v>45671</v>
      </c>
      <c r="C131" s="1" t="str">
        <f>'Raw Tickets'!$C$131</f>
        <v>A010</v>
      </c>
      <c r="D131" s="1" t="str">
        <f>'Raw Tickets'!$D$131</f>
        <v>Email</v>
      </c>
      <c r="E131" s="1" t="str">
        <f>'Raw Tickets'!$E$131</f>
        <v>Payment Failure</v>
      </c>
      <c r="F131" s="1" t="str">
        <f>'Raw Tickets'!$F$131</f>
        <v>Low</v>
      </c>
      <c r="G131" s="1">
        <f>'Raw Tickets'!$G$131</f>
        <v>20.399999999999999</v>
      </c>
      <c r="H131" s="1">
        <f>'Raw Tickets'!$H$131</f>
        <v>37</v>
      </c>
      <c r="I131" s="1">
        <f>'Raw Tickets'!$I$131</f>
        <v>4</v>
      </c>
      <c r="J131" s="6">
        <f>'Raw Tickets'!$J$131</f>
        <v>93.1</v>
      </c>
      <c r="K131" s="1" t="str">
        <f>'Raw Tickets'!$K$131</f>
        <v>Closed</v>
      </c>
      <c r="L131" s="1" t="str">
        <f>'Raw Tickets'!$L$131</f>
        <v>No</v>
      </c>
      <c r="M131" s="1" t="str">
        <f>'Raw Tickets'!$M$131</f>
        <v>No</v>
      </c>
      <c r="N131" s="1" t="str">
        <f>IFERROR(VLOOKUP(C131,Agents!$A$2:$E$26,2,FALSE),"")</f>
        <v>Ananya Gupta</v>
      </c>
      <c r="O131" s="1" t="str">
        <f>IFERROR(INDEX(Agents!$D$2:$D$26,MATCH(C131,Agents!$A$2:$A$26,0)),"")</f>
        <v>Voice Support</v>
      </c>
      <c r="P131" s="1" t="str">
        <f>IFERROR(VLOOKUP(C131,Agents!$A$2:$E$26,3,FALSE),"")</f>
        <v>Kritika Shah</v>
      </c>
      <c r="Q131" s="1" t="str">
        <f>IFERROR(VLOOKUP(C131,Agents!$A$2:$E$26,5,FALSE),"")</f>
        <v>Gurugram</v>
      </c>
      <c r="R131" s="1">
        <f>IFERROR(VLOOKUP(F131,#REF!,2,FALSE),0)</f>
        <v>0</v>
      </c>
      <c r="S131" s="1" t="str">
        <f t="shared" si="12"/>
        <v>Breached</v>
      </c>
      <c r="T131" s="1" t="str">
        <f t="shared" si="13"/>
        <v>Late</v>
      </c>
      <c r="U131" s="1" t="str">
        <f t="shared" si="14"/>
        <v>2025-01</v>
      </c>
      <c r="V131" s="1" t="str">
        <f t="shared" si="15"/>
        <v>Good</v>
      </c>
      <c r="W131" s="1" t="str">
        <f t="shared" si="16"/>
        <v>Pass</v>
      </c>
      <c r="X131" s="1" t="str">
        <f t="shared" si="17"/>
        <v>Unique</v>
      </c>
    </row>
    <row r="132" spans="1:24" ht="15" customHeight="1">
      <c r="A132" s="1" t="str">
        <f>'Raw Tickets'!$A$132</f>
        <v>T00131</v>
      </c>
      <c r="B132" s="4">
        <f>'Raw Tickets'!$B$132</f>
        <v>45874</v>
      </c>
      <c r="C132" s="1" t="str">
        <f>'Raw Tickets'!$C$132</f>
        <v>A019</v>
      </c>
      <c r="D132" s="1" t="str">
        <f>'Raw Tickets'!$D$132</f>
        <v>Call</v>
      </c>
      <c r="E132" s="1" t="str">
        <f>'Raw Tickets'!$E$132</f>
        <v>Order Cancellation</v>
      </c>
      <c r="F132" s="1" t="str">
        <f>'Raw Tickets'!$F$132</f>
        <v>Medium</v>
      </c>
      <c r="G132" s="1">
        <f>'Raw Tickets'!$G$132</f>
        <v>33.4</v>
      </c>
      <c r="H132" s="1">
        <f>'Raw Tickets'!$H$132</f>
        <v>5</v>
      </c>
      <c r="I132" s="1">
        <f>'Raw Tickets'!$I$132</f>
        <v>2</v>
      </c>
      <c r="J132" s="6">
        <f>'Raw Tickets'!$J$132</f>
        <v>94</v>
      </c>
      <c r="K132" s="1" t="str">
        <f>'Raw Tickets'!$K$132</f>
        <v>Closed</v>
      </c>
      <c r="L132" s="1" t="str">
        <f>'Raw Tickets'!$L$132</f>
        <v>No</v>
      </c>
      <c r="M132" s="1" t="str">
        <f>'Raw Tickets'!$M$132</f>
        <v>No</v>
      </c>
      <c r="N132" s="1" t="str">
        <f>IFERROR(VLOOKUP(C132,Agents!$A$2:$E$26,2,FALSE),"")</f>
        <v>Sneha Joshi</v>
      </c>
      <c r="O132" s="1" t="str">
        <f>IFERROR(INDEX(Agents!$D$2:$D$26,MATCH(C132,Agents!$A$2:$A$26,0)),"")</f>
        <v>Escalations</v>
      </c>
      <c r="P132" s="1" t="str">
        <f>IFERROR(VLOOKUP(C132,Agents!$A$2:$E$26,3,FALSE),"")</f>
        <v>Pallavi Rao</v>
      </c>
      <c r="Q132" s="1" t="str">
        <f>IFERROR(VLOOKUP(C132,Agents!$A$2:$E$26,5,FALSE),"")</f>
        <v>Hyderabad</v>
      </c>
      <c r="R132" s="1">
        <f>IFERROR(VLOOKUP(F132,#REF!,2,FALSE),0)</f>
        <v>0</v>
      </c>
      <c r="S132" s="1" t="str">
        <f t="shared" si="12"/>
        <v>Breached</v>
      </c>
      <c r="T132" s="1" t="str">
        <f t="shared" si="13"/>
        <v>Within Target</v>
      </c>
      <c r="U132" s="1" t="str">
        <f t="shared" si="14"/>
        <v>2025-08</v>
      </c>
      <c r="V132" s="1" t="str">
        <f t="shared" si="15"/>
        <v>Poor</v>
      </c>
      <c r="W132" s="1" t="str">
        <f t="shared" si="16"/>
        <v>Pass</v>
      </c>
      <c r="X132" s="1" t="str">
        <f t="shared" si="17"/>
        <v>Unique</v>
      </c>
    </row>
    <row r="133" spans="1:24" ht="15" customHeight="1">
      <c r="A133" s="1" t="str">
        <f>'Raw Tickets'!$A$133</f>
        <v>T00132</v>
      </c>
      <c r="B133" s="4">
        <f>'Raw Tickets'!$B$133</f>
        <v>45956</v>
      </c>
      <c r="C133" s="1" t="str">
        <f>'Raw Tickets'!$C$133</f>
        <v>A002</v>
      </c>
      <c r="D133" s="1" t="str">
        <f>'Raw Tickets'!$D$133</f>
        <v>Email</v>
      </c>
      <c r="E133" s="1" t="str">
        <f>'Raw Tickets'!$E$133</f>
        <v>Product Quality</v>
      </c>
      <c r="F133" s="1" t="str">
        <f>'Raw Tickets'!$F$133</f>
        <v>Medium</v>
      </c>
      <c r="G133" s="1">
        <f>'Raw Tickets'!$G$133</f>
        <v>21.2</v>
      </c>
      <c r="H133" s="1">
        <f>'Raw Tickets'!$H$133</f>
        <v>33</v>
      </c>
      <c r="I133" s="1">
        <f>'Raw Tickets'!$I$133</f>
        <v>4</v>
      </c>
      <c r="J133" s="6">
        <f>'Raw Tickets'!$J$133</f>
        <v>89</v>
      </c>
      <c r="K133" s="1" t="str">
        <f>'Raw Tickets'!$K$133</f>
        <v>Closed</v>
      </c>
      <c r="L133" s="1" t="str">
        <f>'Raw Tickets'!$L$133</f>
        <v>No</v>
      </c>
      <c r="M133" s="1" t="str">
        <f>'Raw Tickets'!$M$133</f>
        <v>No</v>
      </c>
      <c r="N133" s="1" t="str">
        <f>IFERROR(VLOOKUP(C133,Agents!$A$2:$E$26,2,FALSE),"")</f>
        <v>Gaurav Khan</v>
      </c>
      <c r="O133" s="1" t="str">
        <f>IFERROR(INDEX(Agents!$D$2:$D$26,MATCH(C133,Agents!$A$2:$A$26,0)),"")</f>
        <v>Email Support</v>
      </c>
      <c r="P133" s="1" t="str">
        <f>IFERROR(VLOOKUP(C133,Agents!$A$2:$E$26,3,FALSE),"")</f>
        <v>Aman Verma</v>
      </c>
      <c r="Q133" s="1" t="str">
        <f>IFERROR(VLOOKUP(C133,Agents!$A$2:$E$26,5,FALSE),"")</f>
        <v>Noida</v>
      </c>
      <c r="R133" s="1">
        <f>IFERROR(VLOOKUP(F133,#REF!,2,FALSE),0)</f>
        <v>0</v>
      </c>
      <c r="S133" s="1" t="str">
        <f t="shared" si="12"/>
        <v>Breached</v>
      </c>
      <c r="T133" s="1" t="str">
        <f t="shared" si="13"/>
        <v>Late</v>
      </c>
      <c r="U133" s="1" t="str">
        <f t="shared" si="14"/>
        <v>2025-10</v>
      </c>
      <c r="V133" s="1" t="str">
        <f t="shared" si="15"/>
        <v>Good</v>
      </c>
      <c r="W133" s="1" t="str">
        <f t="shared" si="16"/>
        <v>Pass</v>
      </c>
      <c r="X133" s="1" t="str">
        <f t="shared" si="17"/>
        <v>Unique</v>
      </c>
    </row>
    <row r="134" spans="1:24" ht="15" customHeight="1">
      <c r="A134" s="1" t="str">
        <f>'Raw Tickets'!$A$134</f>
        <v>T00133</v>
      </c>
      <c r="B134" s="4">
        <f>'Raw Tickets'!$B$134</f>
        <v>45852</v>
      </c>
      <c r="C134" s="1" t="str">
        <f>'Raw Tickets'!$C$134</f>
        <v>A016</v>
      </c>
      <c r="D134" s="1" t="str">
        <f>'Raw Tickets'!$D$134</f>
        <v>Email</v>
      </c>
      <c r="E134" s="1" t="str">
        <f>'Raw Tickets'!$E$134</f>
        <v>Refund</v>
      </c>
      <c r="F134" s="1" t="str">
        <f>'Raw Tickets'!$F$134</f>
        <v>Critical</v>
      </c>
      <c r="G134" s="1">
        <f>'Raw Tickets'!$G$134</f>
        <v>4.5999999999999996</v>
      </c>
      <c r="H134" s="1">
        <f>'Raw Tickets'!$H$134</f>
        <v>13</v>
      </c>
      <c r="I134" s="1">
        <f>'Raw Tickets'!$I$134</f>
        <v>3</v>
      </c>
      <c r="J134" s="6">
        <f>'Raw Tickets'!$J$134</f>
        <v>95.3</v>
      </c>
      <c r="K134" s="1" t="str">
        <f>'Raw Tickets'!$K$134</f>
        <v>Closed</v>
      </c>
      <c r="L134" s="1" t="str">
        <f>'Raw Tickets'!$L$134</f>
        <v>No</v>
      </c>
      <c r="M134" s="1" t="str">
        <f>'Raw Tickets'!$M$134</f>
        <v>No</v>
      </c>
      <c r="N134" s="1" t="str">
        <f>IFERROR(VLOOKUP(C134,Agents!$A$2:$E$26,2,FALSE),"")</f>
        <v>Pooja Bansal</v>
      </c>
      <c r="O134" s="1" t="str">
        <f>IFERROR(INDEX(Agents!$D$2:$D$26,MATCH(C134,Agents!$A$2:$A$26,0)),"")</f>
        <v>Escalations</v>
      </c>
      <c r="P134" s="1" t="str">
        <f>IFERROR(VLOOKUP(C134,Agents!$A$2:$E$26,3,FALSE),"")</f>
        <v>Pallavi Rao</v>
      </c>
      <c r="Q134" s="1" t="str">
        <f>IFERROR(VLOOKUP(C134,Agents!$A$2:$E$26,5,FALSE),"")</f>
        <v>Hyderabad</v>
      </c>
      <c r="R134" s="1">
        <f>IFERROR(VLOOKUP(F134,#REF!,2,FALSE),0)</f>
        <v>0</v>
      </c>
      <c r="S134" s="1" t="str">
        <f t="shared" si="12"/>
        <v>Breached</v>
      </c>
      <c r="T134" s="1" t="str">
        <f t="shared" si="13"/>
        <v>Within Target</v>
      </c>
      <c r="U134" s="1" t="str">
        <f t="shared" si="14"/>
        <v>2025-07</v>
      </c>
      <c r="V134" s="1" t="str">
        <f t="shared" si="15"/>
        <v>Average</v>
      </c>
      <c r="W134" s="1" t="str">
        <f t="shared" si="16"/>
        <v>Pass</v>
      </c>
      <c r="X134" s="1" t="str">
        <f t="shared" si="17"/>
        <v>Unique</v>
      </c>
    </row>
    <row r="135" spans="1:24" ht="15" customHeight="1">
      <c r="A135" s="1" t="str">
        <f>'Raw Tickets'!$A$135</f>
        <v>T00134</v>
      </c>
      <c r="B135" s="4">
        <f>'Raw Tickets'!$B$135</f>
        <v>45866</v>
      </c>
      <c r="C135" s="1" t="str">
        <f>'Raw Tickets'!$C$135</f>
        <v>A015</v>
      </c>
      <c r="D135" s="1" t="str">
        <f>'Raw Tickets'!$D$135</f>
        <v>Call</v>
      </c>
      <c r="E135" s="1" t="str">
        <f>'Raw Tickets'!$E$135</f>
        <v>Delivery Delay</v>
      </c>
      <c r="F135" s="1" t="str">
        <f>'Raw Tickets'!$F$135</f>
        <v>Medium</v>
      </c>
      <c r="G135" s="1">
        <f>'Raw Tickets'!$G$135</f>
        <v>16.8</v>
      </c>
      <c r="H135" s="1">
        <f>'Raw Tickets'!$H$135</f>
        <v>36</v>
      </c>
      <c r="I135" s="1">
        <f>'Raw Tickets'!$I$135</f>
        <v>5</v>
      </c>
      <c r="J135" s="6">
        <f>'Raw Tickets'!$J$135</f>
        <v>95.4</v>
      </c>
      <c r="K135" s="1" t="str">
        <f>'Raw Tickets'!$K$135</f>
        <v>Closed</v>
      </c>
      <c r="L135" s="1" t="str">
        <f>'Raw Tickets'!$L$135</f>
        <v>No</v>
      </c>
      <c r="M135" s="1" t="str">
        <f>'Raw Tickets'!$M$135</f>
        <v>No</v>
      </c>
      <c r="N135" s="1" t="str">
        <f>IFERROR(VLOOKUP(C135,Agents!$A$2:$E$26,2,FALSE),"")</f>
        <v>Neha Jain</v>
      </c>
      <c r="O135" s="1" t="str">
        <f>IFERROR(INDEX(Agents!$D$2:$D$26,MATCH(C135,Agents!$A$2:$A$26,0)),"")</f>
        <v>Chat Support</v>
      </c>
      <c r="P135" s="1" t="str">
        <f>IFERROR(VLOOKUP(C135,Agents!$A$2:$E$26,3,FALSE),"")</f>
        <v>Nitin Gupta</v>
      </c>
      <c r="Q135" s="1" t="str">
        <f>IFERROR(VLOOKUP(C135,Agents!$A$2:$E$26,5,FALSE),"")</f>
        <v>Bengaluru</v>
      </c>
      <c r="R135" s="1">
        <f>IFERROR(VLOOKUP(F135,#REF!,2,FALSE),0)</f>
        <v>0</v>
      </c>
      <c r="S135" s="1" t="str">
        <f t="shared" si="12"/>
        <v>Breached</v>
      </c>
      <c r="T135" s="1" t="str">
        <f t="shared" si="13"/>
        <v>Late</v>
      </c>
      <c r="U135" s="1" t="str">
        <f t="shared" si="14"/>
        <v>2025-07</v>
      </c>
      <c r="V135" s="1" t="str">
        <f t="shared" si="15"/>
        <v>Good</v>
      </c>
      <c r="W135" s="1" t="str">
        <f t="shared" si="16"/>
        <v>Pass</v>
      </c>
      <c r="X135" s="1" t="str">
        <f t="shared" si="17"/>
        <v>Unique</v>
      </c>
    </row>
    <row r="136" spans="1:24" ht="15" customHeight="1">
      <c r="A136" s="1" t="str">
        <f>'Raw Tickets'!$A$136</f>
        <v>T00135</v>
      </c>
      <c r="B136" s="4">
        <f>'Raw Tickets'!$B$136</f>
        <v>45851</v>
      </c>
      <c r="C136" s="1" t="str">
        <f>'Raw Tickets'!$C$136</f>
        <v>A013</v>
      </c>
      <c r="D136" s="1" t="str">
        <f>'Raw Tickets'!$D$136</f>
        <v>Chat</v>
      </c>
      <c r="E136" s="1" t="str">
        <f>'Raw Tickets'!$E$136</f>
        <v>Refund</v>
      </c>
      <c r="F136" s="1" t="str">
        <f>'Raw Tickets'!$F$136</f>
        <v>High</v>
      </c>
      <c r="G136" s="1">
        <f>'Raw Tickets'!$G$136</f>
        <v>6</v>
      </c>
      <c r="H136" s="1">
        <f>'Raw Tickets'!$H$136</f>
        <v>28</v>
      </c>
      <c r="I136" s="1">
        <f>'Raw Tickets'!$I$136</f>
        <v>3</v>
      </c>
      <c r="J136" s="6">
        <f>'Raw Tickets'!$J$136</f>
        <v>94.9</v>
      </c>
      <c r="K136" s="1" t="str">
        <f>'Raw Tickets'!$K$136</f>
        <v>Closed</v>
      </c>
      <c r="L136" s="1" t="str">
        <f>'Raw Tickets'!$L$136</f>
        <v>No</v>
      </c>
      <c r="M136" s="1" t="str">
        <f>'Raw Tickets'!$M$136</f>
        <v>No</v>
      </c>
      <c r="N136" s="1" t="str">
        <f>IFERROR(VLOOKUP(C136,Agents!$A$2:$E$26,2,FALSE),"")</f>
        <v>Ananya Jain</v>
      </c>
      <c r="O136" s="1" t="str">
        <f>IFERROR(INDEX(Agents!$D$2:$D$26,MATCH(C136,Agents!$A$2:$A$26,0)),"")</f>
        <v>Chat Support</v>
      </c>
      <c r="P136" s="1" t="str">
        <f>IFERROR(VLOOKUP(C136,Agents!$A$2:$E$26,3,FALSE),"")</f>
        <v>Nitin Gupta</v>
      </c>
      <c r="Q136" s="1" t="str">
        <f>IFERROR(VLOOKUP(C136,Agents!$A$2:$E$26,5,FALSE),"")</f>
        <v>Hyderabad</v>
      </c>
      <c r="R136" s="1">
        <f>IFERROR(VLOOKUP(F136,#REF!,2,FALSE),0)</f>
        <v>0</v>
      </c>
      <c r="S136" s="1" t="str">
        <f t="shared" si="12"/>
        <v>Breached</v>
      </c>
      <c r="T136" s="1" t="str">
        <f t="shared" si="13"/>
        <v>Within Target</v>
      </c>
      <c r="U136" s="1" t="str">
        <f t="shared" si="14"/>
        <v>2025-07</v>
      </c>
      <c r="V136" s="1" t="str">
        <f t="shared" si="15"/>
        <v>Average</v>
      </c>
      <c r="W136" s="1" t="str">
        <f t="shared" si="16"/>
        <v>Pass</v>
      </c>
      <c r="X136" s="1" t="str">
        <f t="shared" si="17"/>
        <v>Unique</v>
      </c>
    </row>
    <row r="137" spans="1:24" ht="15" customHeight="1">
      <c r="A137" s="1" t="str">
        <f>'Raw Tickets'!$A$137</f>
        <v>T00136</v>
      </c>
      <c r="B137" s="4">
        <f>'Raw Tickets'!$B$137</f>
        <v>45944</v>
      </c>
      <c r="C137" s="1" t="str">
        <f>'Raw Tickets'!$C$137</f>
        <v>A002</v>
      </c>
      <c r="D137" s="1" t="str">
        <f>'Raw Tickets'!$D$137</f>
        <v>Call</v>
      </c>
      <c r="E137" s="1" t="str">
        <f>'Raw Tickets'!$E$137</f>
        <v>Product Quality</v>
      </c>
      <c r="F137" s="1" t="str">
        <f>'Raw Tickets'!$F$137</f>
        <v>High</v>
      </c>
      <c r="G137" s="1">
        <f>'Raw Tickets'!$G$137</f>
        <v>10.199999999999999</v>
      </c>
      <c r="H137" s="1">
        <f>'Raw Tickets'!$H$137</f>
        <v>23</v>
      </c>
      <c r="I137" s="1">
        <f>'Raw Tickets'!$I$137</f>
        <v>3</v>
      </c>
      <c r="J137" s="6">
        <f>'Raw Tickets'!$J$137</f>
        <v>79.3</v>
      </c>
      <c r="K137" s="1" t="str">
        <f>'Raw Tickets'!$K$137</f>
        <v>Closed</v>
      </c>
      <c r="L137" s="1" t="str">
        <f>'Raw Tickets'!$L$137</f>
        <v>No</v>
      </c>
      <c r="M137" s="1" t="str">
        <f>'Raw Tickets'!$M$137</f>
        <v>No</v>
      </c>
      <c r="N137" s="1" t="str">
        <f>IFERROR(VLOOKUP(C137,Agents!$A$2:$E$26,2,FALSE),"")</f>
        <v>Gaurav Khan</v>
      </c>
      <c r="O137" s="1" t="str">
        <f>IFERROR(INDEX(Agents!$D$2:$D$26,MATCH(C137,Agents!$A$2:$A$26,0)),"")</f>
        <v>Email Support</v>
      </c>
      <c r="P137" s="1" t="str">
        <f>IFERROR(VLOOKUP(C137,Agents!$A$2:$E$26,3,FALSE),"")</f>
        <v>Aman Verma</v>
      </c>
      <c r="Q137" s="1" t="str">
        <f>IFERROR(VLOOKUP(C137,Agents!$A$2:$E$26,5,FALSE),"")</f>
        <v>Noida</v>
      </c>
      <c r="R137" s="1">
        <f>IFERROR(VLOOKUP(F137,#REF!,2,FALSE),0)</f>
        <v>0</v>
      </c>
      <c r="S137" s="1" t="str">
        <f t="shared" si="12"/>
        <v>Breached</v>
      </c>
      <c r="T137" s="1" t="str">
        <f t="shared" si="13"/>
        <v>Within Target</v>
      </c>
      <c r="U137" s="1" t="str">
        <f t="shared" si="14"/>
        <v>2025-10</v>
      </c>
      <c r="V137" s="1" t="str">
        <f t="shared" si="15"/>
        <v>Average</v>
      </c>
      <c r="W137" s="1" t="str">
        <f t="shared" si="16"/>
        <v>Needs Coaching</v>
      </c>
      <c r="X137" s="1" t="str">
        <f t="shared" si="17"/>
        <v>Unique</v>
      </c>
    </row>
    <row r="138" spans="1:24" ht="15" customHeight="1">
      <c r="A138" s="1" t="str">
        <f>'Raw Tickets'!$A$138</f>
        <v>T00137</v>
      </c>
      <c r="B138" s="4">
        <f>'Raw Tickets'!$B$138</f>
        <v>45661</v>
      </c>
      <c r="C138" s="1" t="str">
        <f>'Raw Tickets'!$C$138</f>
        <v>A003</v>
      </c>
      <c r="D138" s="1" t="str">
        <f>'Raw Tickets'!$D$138</f>
        <v>Call</v>
      </c>
      <c r="E138" s="1" t="str">
        <f>'Raw Tickets'!$E$138</f>
        <v>Account Issue</v>
      </c>
      <c r="F138" s="1" t="str">
        <f>'Raw Tickets'!$F$138</f>
        <v>Low</v>
      </c>
      <c r="G138" s="1">
        <f>'Raw Tickets'!$G$138</f>
        <v>74.2</v>
      </c>
      <c r="H138" s="1">
        <f>'Raw Tickets'!$H$138</f>
        <v>32</v>
      </c>
      <c r="I138" s="1">
        <f>'Raw Tickets'!$I$138</f>
        <v>5</v>
      </c>
      <c r="J138" s="6">
        <f>'Raw Tickets'!$J$138</f>
        <v>80.3</v>
      </c>
      <c r="K138" s="1" t="str">
        <f>'Raw Tickets'!$K$138</f>
        <v>Closed</v>
      </c>
      <c r="L138" s="1" t="str">
        <f>'Raw Tickets'!$L$138</f>
        <v>No</v>
      </c>
      <c r="M138" s="1" t="str">
        <f>'Raw Tickets'!$M$138</f>
        <v>No</v>
      </c>
      <c r="N138" s="1" t="str">
        <f>IFERROR(VLOOKUP(C138,Agents!$A$2:$E$26,2,FALSE),"")</f>
        <v>Kabir Verma</v>
      </c>
      <c r="O138" s="1" t="str">
        <f>IFERROR(INDEX(Agents!$D$2:$D$26,MATCH(C138,Agents!$A$2:$A$26,0)),"")</f>
        <v>Email Support</v>
      </c>
      <c r="P138" s="1" t="str">
        <f>IFERROR(VLOOKUP(C138,Agents!$A$2:$E$26,3,FALSE),"")</f>
        <v>Aman Verma</v>
      </c>
      <c r="Q138" s="1" t="str">
        <f>IFERROR(VLOOKUP(C138,Agents!$A$2:$E$26,5,FALSE),"")</f>
        <v>Gurugram</v>
      </c>
      <c r="R138" s="1">
        <f>IFERROR(VLOOKUP(F138,#REF!,2,FALSE),0)</f>
        <v>0</v>
      </c>
      <c r="S138" s="1" t="str">
        <f t="shared" si="12"/>
        <v>Breached</v>
      </c>
      <c r="T138" s="1" t="str">
        <f t="shared" si="13"/>
        <v>Late</v>
      </c>
      <c r="U138" s="1" t="str">
        <f t="shared" si="14"/>
        <v>2025-01</v>
      </c>
      <c r="V138" s="1" t="str">
        <f t="shared" si="15"/>
        <v>Good</v>
      </c>
      <c r="W138" s="1" t="str">
        <f t="shared" si="16"/>
        <v>Needs Coaching</v>
      </c>
      <c r="X138" s="1" t="str">
        <f t="shared" si="17"/>
        <v>Unique</v>
      </c>
    </row>
    <row r="139" spans="1:24" ht="15" customHeight="1">
      <c r="A139" s="1" t="str">
        <f>'Raw Tickets'!$A$139</f>
        <v>T00138</v>
      </c>
      <c r="B139" s="4">
        <f>'Raw Tickets'!$B$139</f>
        <v>46021</v>
      </c>
      <c r="C139" s="1" t="str">
        <f>'Raw Tickets'!$C$139</f>
        <v>A016</v>
      </c>
      <c r="D139" s="1" t="str">
        <f>'Raw Tickets'!$D$139</f>
        <v>Call</v>
      </c>
      <c r="E139" s="1" t="str">
        <f>'Raw Tickets'!$E$139</f>
        <v>Refund</v>
      </c>
      <c r="F139" s="1" t="str">
        <f>'Raw Tickets'!$F$139</f>
        <v>Low</v>
      </c>
      <c r="G139" s="1">
        <f>'Raw Tickets'!$G$139</f>
        <v>8.1999999999999993</v>
      </c>
      <c r="H139" s="1">
        <f>'Raw Tickets'!$H$139</f>
        <v>23</v>
      </c>
      <c r="I139" s="1">
        <f>'Raw Tickets'!$I$139</f>
        <v>5</v>
      </c>
      <c r="J139" s="6">
        <f>'Raw Tickets'!$J$139</f>
        <v>67.5</v>
      </c>
      <c r="K139" s="1" t="str">
        <f>'Raw Tickets'!$K$139</f>
        <v>Closed</v>
      </c>
      <c r="L139" s="1" t="str">
        <f>'Raw Tickets'!$L$139</f>
        <v>No</v>
      </c>
      <c r="M139" s="1" t="str">
        <f>'Raw Tickets'!$M$139</f>
        <v>No</v>
      </c>
      <c r="N139" s="1" t="str">
        <f>IFERROR(VLOOKUP(C139,Agents!$A$2:$E$26,2,FALSE),"")</f>
        <v>Pooja Bansal</v>
      </c>
      <c r="O139" s="1" t="str">
        <f>IFERROR(INDEX(Agents!$D$2:$D$26,MATCH(C139,Agents!$A$2:$A$26,0)),"")</f>
        <v>Escalations</v>
      </c>
      <c r="P139" s="1" t="str">
        <f>IFERROR(VLOOKUP(C139,Agents!$A$2:$E$26,3,FALSE),"")</f>
        <v>Pallavi Rao</v>
      </c>
      <c r="Q139" s="1" t="str">
        <f>IFERROR(VLOOKUP(C139,Agents!$A$2:$E$26,5,FALSE),"")</f>
        <v>Hyderabad</v>
      </c>
      <c r="R139" s="1">
        <f>IFERROR(VLOOKUP(F139,#REF!,2,FALSE),0)</f>
        <v>0</v>
      </c>
      <c r="S139" s="1" t="str">
        <f t="shared" si="12"/>
        <v>Breached</v>
      </c>
      <c r="T139" s="1" t="str">
        <f t="shared" si="13"/>
        <v>Within Target</v>
      </c>
      <c r="U139" s="1" t="str">
        <f t="shared" si="14"/>
        <v>2025-12</v>
      </c>
      <c r="V139" s="1" t="str">
        <f t="shared" si="15"/>
        <v>Good</v>
      </c>
      <c r="W139" s="1" t="str">
        <f t="shared" si="16"/>
        <v>Needs Coaching</v>
      </c>
      <c r="X139" s="1" t="str">
        <f t="shared" si="17"/>
        <v>Unique</v>
      </c>
    </row>
    <row r="140" spans="1:24" ht="15" customHeight="1">
      <c r="A140" s="1" t="str">
        <f>'Raw Tickets'!$A$140</f>
        <v>T00139</v>
      </c>
      <c r="B140" s="4">
        <f>'Raw Tickets'!$B$140</f>
        <v>45743</v>
      </c>
      <c r="C140" s="1" t="str">
        <f>'Raw Tickets'!$C$140</f>
        <v>A016</v>
      </c>
      <c r="D140" s="1" t="str">
        <f>'Raw Tickets'!$D$140</f>
        <v>Call</v>
      </c>
      <c r="E140" s="1" t="str">
        <f>'Raw Tickets'!$E$140</f>
        <v>Product Quality</v>
      </c>
      <c r="F140" s="1" t="str">
        <f>'Raw Tickets'!$F$140</f>
        <v>Low</v>
      </c>
      <c r="G140" s="1">
        <f>'Raw Tickets'!$G$140</f>
        <v>49.9</v>
      </c>
      <c r="H140" s="1">
        <f>'Raw Tickets'!$H$140</f>
        <v>48</v>
      </c>
      <c r="I140" s="1">
        <f>'Raw Tickets'!$I$140</f>
        <v>5</v>
      </c>
      <c r="J140" s="6">
        <f>'Raw Tickets'!$J$140</f>
        <v>92.7</v>
      </c>
      <c r="K140" s="1" t="str">
        <f>'Raw Tickets'!$K$140</f>
        <v>Closed</v>
      </c>
      <c r="L140" s="1" t="str">
        <f>'Raw Tickets'!$L$140</f>
        <v>No</v>
      </c>
      <c r="M140" s="1" t="str">
        <f>'Raw Tickets'!$M$140</f>
        <v>No</v>
      </c>
      <c r="N140" s="1" t="str">
        <f>IFERROR(VLOOKUP(C140,Agents!$A$2:$E$26,2,FALSE),"")</f>
        <v>Pooja Bansal</v>
      </c>
      <c r="O140" s="1" t="str">
        <f>IFERROR(INDEX(Agents!$D$2:$D$26,MATCH(C140,Agents!$A$2:$A$26,0)),"")</f>
        <v>Escalations</v>
      </c>
      <c r="P140" s="1" t="str">
        <f>IFERROR(VLOOKUP(C140,Agents!$A$2:$E$26,3,FALSE),"")</f>
        <v>Pallavi Rao</v>
      </c>
      <c r="Q140" s="1" t="str">
        <f>IFERROR(VLOOKUP(C140,Agents!$A$2:$E$26,5,FALSE),"")</f>
        <v>Hyderabad</v>
      </c>
      <c r="R140" s="1">
        <f>IFERROR(VLOOKUP(F140,#REF!,2,FALSE),0)</f>
        <v>0</v>
      </c>
      <c r="S140" s="1" t="str">
        <f t="shared" si="12"/>
        <v>Breached</v>
      </c>
      <c r="T140" s="1" t="str">
        <f t="shared" si="13"/>
        <v>Late</v>
      </c>
      <c r="U140" s="1" t="str">
        <f t="shared" si="14"/>
        <v>2025-03</v>
      </c>
      <c r="V140" s="1" t="str">
        <f t="shared" si="15"/>
        <v>Good</v>
      </c>
      <c r="W140" s="1" t="str">
        <f t="shared" si="16"/>
        <v>Pass</v>
      </c>
      <c r="X140" s="1" t="str">
        <f t="shared" si="17"/>
        <v>Unique</v>
      </c>
    </row>
    <row r="141" spans="1:24" ht="15" customHeight="1">
      <c r="A141" s="1" t="str">
        <f>'Raw Tickets'!$A$141</f>
        <v>T00140</v>
      </c>
      <c r="B141" s="4">
        <f>'Raw Tickets'!$B$141</f>
        <v>45987</v>
      </c>
      <c r="C141" s="1" t="str">
        <f>'Raw Tickets'!$C$141</f>
        <v>A013</v>
      </c>
      <c r="D141" s="1" t="str">
        <f>'Raw Tickets'!$D$141</f>
        <v>Email</v>
      </c>
      <c r="E141" s="1" t="str">
        <f>'Raw Tickets'!$E$141</f>
        <v>Delivery Delay</v>
      </c>
      <c r="F141" s="1" t="str">
        <f>'Raw Tickets'!$F$141</f>
        <v>Medium</v>
      </c>
      <c r="G141" s="1">
        <f>'Raw Tickets'!$G$141</f>
        <v>22.7</v>
      </c>
      <c r="H141" s="1">
        <f>'Raw Tickets'!$H$141</f>
        <v>9</v>
      </c>
      <c r="I141" s="1">
        <f>'Raw Tickets'!$I$141</f>
        <v>3</v>
      </c>
      <c r="J141" s="6">
        <f>'Raw Tickets'!$J$141</f>
        <v>86.5</v>
      </c>
      <c r="K141" s="1" t="str">
        <f>'Raw Tickets'!$K$141</f>
        <v>Closed</v>
      </c>
      <c r="L141" s="1" t="str">
        <f>'Raw Tickets'!$L$141</f>
        <v>No</v>
      </c>
      <c r="M141" s="1" t="str">
        <f>'Raw Tickets'!$M$141</f>
        <v>No</v>
      </c>
      <c r="N141" s="1" t="str">
        <f>IFERROR(VLOOKUP(C141,Agents!$A$2:$E$26,2,FALSE),"")</f>
        <v>Ananya Jain</v>
      </c>
      <c r="O141" s="1" t="str">
        <f>IFERROR(INDEX(Agents!$D$2:$D$26,MATCH(C141,Agents!$A$2:$A$26,0)),"")</f>
        <v>Chat Support</v>
      </c>
      <c r="P141" s="1" t="str">
        <f>IFERROR(VLOOKUP(C141,Agents!$A$2:$E$26,3,FALSE),"")</f>
        <v>Nitin Gupta</v>
      </c>
      <c r="Q141" s="1" t="str">
        <f>IFERROR(VLOOKUP(C141,Agents!$A$2:$E$26,5,FALSE),"")</f>
        <v>Hyderabad</v>
      </c>
      <c r="R141" s="1">
        <f>IFERROR(VLOOKUP(F141,#REF!,2,FALSE),0)</f>
        <v>0</v>
      </c>
      <c r="S141" s="1" t="str">
        <f t="shared" si="12"/>
        <v>Breached</v>
      </c>
      <c r="T141" s="1" t="str">
        <f t="shared" si="13"/>
        <v>Within Target</v>
      </c>
      <c r="U141" s="1" t="str">
        <f t="shared" si="14"/>
        <v>2025-11</v>
      </c>
      <c r="V141" s="1" t="str">
        <f t="shared" si="15"/>
        <v>Average</v>
      </c>
      <c r="W141" s="1" t="str">
        <f t="shared" si="16"/>
        <v>Pass</v>
      </c>
      <c r="X141" s="1" t="str">
        <f t="shared" si="17"/>
        <v>Unique</v>
      </c>
    </row>
    <row r="142" spans="1:24" ht="15" customHeight="1">
      <c r="A142" s="1" t="str">
        <f>'Raw Tickets'!$A$142</f>
        <v>T00141</v>
      </c>
      <c r="B142" s="4">
        <f>'Raw Tickets'!$B$142</f>
        <v>45856</v>
      </c>
      <c r="C142" s="1" t="str">
        <f>'Raw Tickets'!$C$142</f>
        <v>A007</v>
      </c>
      <c r="D142" s="1" t="str">
        <f>'Raw Tickets'!$D$142</f>
        <v>Call</v>
      </c>
      <c r="E142" s="1" t="str">
        <f>'Raw Tickets'!$E$142</f>
        <v>Account Issue</v>
      </c>
      <c r="F142" s="1" t="str">
        <f>'Raw Tickets'!$F$142</f>
        <v>Low</v>
      </c>
      <c r="G142" s="1">
        <f>'Raw Tickets'!$G$142</f>
        <v>35.6</v>
      </c>
      <c r="H142" s="1">
        <f>'Raw Tickets'!$H$142</f>
        <v>5</v>
      </c>
      <c r="I142" s="1">
        <f>'Raw Tickets'!$I$142</f>
        <v>4</v>
      </c>
      <c r="J142" s="6">
        <f>'Raw Tickets'!$J$142</f>
        <v>85.7</v>
      </c>
      <c r="K142" s="1" t="str">
        <f>'Raw Tickets'!$K$142</f>
        <v>Closed</v>
      </c>
      <c r="L142" s="1" t="str">
        <f>'Raw Tickets'!$L$142</f>
        <v>No</v>
      </c>
      <c r="M142" s="1" t="str">
        <f>'Raw Tickets'!$M$142</f>
        <v>No</v>
      </c>
      <c r="N142" s="1" t="str">
        <f>IFERROR(VLOOKUP(C142,Agents!$A$2:$E$26,2,FALSE),"")</f>
        <v>Kavya Patel</v>
      </c>
      <c r="O142" s="1" t="str">
        <f>IFERROR(INDEX(Agents!$D$2:$D$26,MATCH(C142,Agents!$A$2:$A$26,0)),"")</f>
        <v>Voice Support</v>
      </c>
      <c r="P142" s="1" t="str">
        <f>IFERROR(VLOOKUP(C142,Agents!$A$2:$E$26,3,FALSE),"")</f>
        <v>Kritika Shah</v>
      </c>
      <c r="Q142" s="1" t="str">
        <f>IFERROR(VLOOKUP(C142,Agents!$A$2:$E$26,5,FALSE),"")</f>
        <v>Noida</v>
      </c>
      <c r="R142" s="1">
        <f>IFERROR(VLOOKUP(F142,#REF!,2,FALSE),0)</f>
        <v>0</v>
      </c>
      <c r="S142" s="1" t="str">
        <f t="shared" si="12"/>
        <v>Breached</v>
      </c>
      <c r="T142" s="1" t="str">
        <f t="shared" si="13"/>
        <v>Within Target</v>
      </c>
      <c r="U142" s="1" t="str">
        <f t="shared" si="14"/>
        <v>2025-07</v>
      </c>
      <c r="V142" s="1" t="str">
        <f t="shared" si="15"/>
        <v>Good</v>
      </c>
      <c r="W142" s="1" t="str">
        <f t="shared" si="16"/>
        <v>Pass</v>
      </c>
      <c r="X142" s="1" t="str">
        <f t="shared" si="17"/>
        <v>Unique</v>
      </c>
    </row>
    <row r="143" spans="1:24" ht="15" customHeight="1">
      <c r="A143" s="1" t="str">
        <f>'Raw Tickets'!$A$143</f>
        <v>T00142</v>
      </c>
      <c r="B143" s="4">
        <f>'Raw Tickets'!$B$143</f>
        <v>45679</v>
      </c>
      <c r="C143" s="1" t="str">
        <f>'Raw Tickets'!$C$143</f>
        <v>A002</v>
      </c>
      <c r="D143" s="1" t="str">
        <f>'Raw Tickets'!$D$143</f>
        <v>Call</v>
      </c>
      <c r="E143" s="1" t="str">
        <f>'Raw Tickets'!$E$143</f>
        <v>Account Issue</v>
      </c>
      <c r="F143" s="1" t="str">
        <f>'Raw Tickets'!$F$143</f>
        <v>Medium</v>
      </c>
      <c r="G143" s="1">
        <f>'Raw Tickets'!$G$143</f>
        <v>8.1</v>
      </c>
      <c r="H143" s="1">
        <f>'Raw Tickets'!$H$143</f>
        <v>18</v>
      </c>
      <c r="I143" s="1">
        <f>'Raw Tickets'!$I$143</f>
        <v>4</v>
      </c>
      <c r="J143" s="6">
        <f>'Raw Tickets'!$J$143</f>
        <v>94.4</v>
      </c>
      <c r="K143" s="1" t="str">
        <f>'Raw Tickets'!$K$143</f>
        <v>Closed</v>
      </c>
      <c r="L143" s="1" t="str">
        <f>'Raw Tickets'!$L$143</f>
        <v>No</v>
      </c>
      <c r="M143" s="1" t="str">
        <f>'Raw Tickets'!$M$143</f>
        <v>No</v>
      </c>
      <c r="N143" s="1" t="str">
        <f>IFERROR(VLOOKUP(C143,Agents!$A$2:$E$26,2,FALSE),"")</f>
        <v>Gaurav Khan</v>
      </c>
      <c r="O143" s="1" t="str">
        <f>IFERROR(INDEX(Agents!$D$2:$D$26,MATCH(C143,Agents!$A$2:$A$26,0)),"")</f>
        <v>Email Support</v>
      </c>
      <c r="P143" s="1" t="str">
        <f>IFERROR(VLOOKUP(C143,Agents!$A$2:$E$26,3,FALSE),"")</f>
        <v>Aman Verma</v>
      </c>
      <c r="Q143" s="1" t="str">
        <f>IFERROR(VLOOKUP(C143,Agents!$A$2:$E$26,5,FALSE),"")</f>
        <v>Noida</v>
      </c>
      <c r="R143" s="1">
        <f>IFERROR(VLOOKUP(F143,#REF!,2,FALSE),0)</f>
        <v>0</v>
      </c>
      <c r="S143" s="1" t="str">
        <f t="shared" si="12"/>
        <v>Breached</v>
      </c>
      <c r="T143" s="1" t="str">
        <f t="shared" si="13"/>
        <v>Within Target</v>
      </c>
      <c r="U143" s="1" t="str">
        <f t="shared" si="14"/>
        <v>2025-01</v>
      </c>
      <c r="V143" s="1" t="str">
        <f t="shared" si="15"/>
        <v>Good</v>
      </c>
      <c r="W143" s="1" t="str">
        <f t="shared" si="16"/>
        <v>Pass</v>
      </c>
      <c r="X143" s="1" t="str">
        <f t="shared" si="17"/>
        <v>Unique</v>
      </c>
    </row>
    <row r="144" spans="1:24" ht="15" customHeight="1">
      <c r="A144" s="1" t="str">
        <f>'Raw Tickets'!$A$144</f>
        <v>T00143</v>
      </c>
      <c r="B144" s="4">
        <f>'Raw Tickets'!$B$144</f>
        <v>46007</v>
      </c>
      <c r="C144" s="1" t="str">
        <f>'Raw Tickets'!$C$144</f>
        <v>A001</v>
      </c>
      <c r="D144" s="1" t="str">
        <f>'Raw Tickets'!$D$144</f>
        <v>Chat</v>
      </c>
      <c r="E144" s="1" t="str">
        <f>'Raw Tickets'!$E$144</f>
        <v>Refund</v>
      </c>
      <c r="F144" s="1" t="str">
        <f>'Raw Tickets'!$F$144</f>
        <v>Medium</v>
      </c>
      <c r="G144" s="1">
        <f>'Raw Tickets'!$G$144</f>
        <v>11.8</v>
      </c>
      <c r="H144" s="1">
        <f>'Raw Tickets'!$H$144</f>
        <v>22</v>
      </c>
      <c r="I144" s="1">
        <f>'Raw Tickets'!$I$144</f>
        <v>4</v>
      </c>
      <c r="J144" s="6">
        <f>'Raw Tickets'!$J$144</f>
        <v>95.3</v>
      </c>
      <c r="K144" s="1" t="str">
        <f>'Raw Tickets'!$K$144</f>
        <v>Closed</v>
      </c>
      <c r="L144" s="1" t="str">
        <f>'Raw Tickets'!$L$144</f>
        <v>Yes</v>
      </c>
      <c r="M144" s="1" t="str">
        <f>'Raw Tickets'!$M$144</f>
        <v>No</v>
      </c>
      <c r="N144" s="1" t="str">
        <f>IFERROR(VLOOKUP(C144,Agents!$A$2:$E$26,2,FALSE),"")</f>
        <v>Ishita Patel</v>
      </c>
      <c r="O144" s="1" t="str">
        <f>IFERROR(INDEX(Agents!$D$2:$D$26,MATCH(C144,Agents!$A$2:$A$26,0)),"")</f>
        <v>Email Support</v>
      </c>
      <c r="P144" s="1" t="str">
        <f>IFERROR(VLOOKUP(C144,Agents!$A$2:$E$26,3,FALSE),"")</f>
        <v>Aman Verma</v>
      </c>
      <c r="Q144" s="1" t="str">
        <f>IFERROR(VLOOKUP(C144,Agents!$A$2:$E$26,5,FALSE),"")</f>
        <v>Gurugram</v>
      </c>
      <c r="R144" s="1">
        <f>IFERROR(VLOOKUP(F144,#REF!,2,FALSE),0)</f>
        <v>0</v>
      </c>
      <c r="S144" s="1" t="str">
        <f t="shared" si="12"/>
        <v>Breached</v>
      </c>
      <c r="T144" s="1" t="str">
        <f t="shared" si="13"/>
        <v>Within Target</v>
      </c>
      <c r="U144" s="1" t="str">
        <f t="shared" si="14"/>
        <v>2025-12</v>
      </c>
      <c r="V144" s="1" t="str">
        <f t="shared" si="15"/>
        <v>Good</v>
      </c>
      <c r="W144" s="1" t="str">
        <f t="shared" si="16"/>
        <v>Pass</v>
      </c>
      <c r="X144" s="1" t="str">
        <f t="shared" si="17"/>
        <v>Unique</v>
      </c>
    </row>
    <row r="145" spans="1:24" ht="15" customHeight="1">
      <c r="A145" s="1" t="str">
        <f>'Raw Tickets'!$A$145</f>
        <v>T00144</v>
      </c>
      <c r="B145" s="4">
        <f>'Raw Tickets'!$B$145</f>
        <v>45703</v>
      </c>
      <c r="C145" s="1" t="str">
        <f>'Raw Tickets'!$C$145</f>
        <v>A013</v>
      </c>
      <c r="D145" s="1" t="str">
        <f>'Raw Tickets'!$D$145</f>
        <v>Call</v>
      </c>
      <c r="E145" s="1" t="str">
        <f>'Raw Tickets'!$E$145</f>
        <v>Account Issue</v>
      </c>
      <c r="F145" s="1" t="str">
        <f>'Raw Tickets'!$F$145</f>
        <v>Medium</v>
      </c>
      <c r="G145" s="1">
        <f>'Raw Tickets'!$G$145</f>
        <v>3.4</v>
      </c>
      <c r="H145" s="1">
        <f>'Raw Tickets'!$H$145</f>
        <v>28</v>
      </c>
      <c r="I145" s="1">
        <f>'Raw Tickets'!$I$145</f>
        <v>4</v>
      </c>
      <c r="J145" s="6">
        <f>'Raw Tickets'!$J$145</f>
        <v>85.8</v>
      </c>
      <c r="K145" s="1" t="str">
        <f>'Raw Tickets'!$K$145</f>
        <v>Closed</v>
      </c>
      <c r="L145" s="1" t="str">
        <f>'Raw Tickets'!$L$145</f>
        <v>No</v>
      </c>
      <c r="M145" s="1" t="str">
        <f>'Raw Tickets'!$M$145</f>
        <v>No</v>
      </c>
      <c r="N145" s="1" t="str">
        <f>IFERROR(VLOOKUP(C145,Agents!$A$2:$E$26,2,FALSE),"")</f>
        <v>Ananya Jain</v>
      </c>
      <c r="O145" s="1" t="str">
        <f>IFERROR(INDEX(Agents!$D$2:$D$26,MATCH(C145,Agents!$A$2:$A$26,0)),"")</f>
        <v>Chat Support</v>
      </c>
      <c r="P145" s="1" t="str">
        <f>IFERROR(VLOOKUP(C145,Agents!$A$2:$E$26,3,FALSE),"")</f>
        <v>Nitin Gupta</v>
      </c>
      <c r="Q145" s="1" t="str">
        <f>IFERROR(VLOOKUP(C145,Agents!$A$2:$E$26,5,FALSE),"")</f>
        <v>Hyderabad</v>
      </c>
      <c r="R145" s="1">
        <f>IFERROR(VLOOKUP(F145,#REF!,2,FALSE),0)</f>
        <v>0</v>
      </c>
      <c r="S145" s="1" t="str">
        <f t="shared" si="12"/>
        <v>Breached</v>
      </c>
      <c r="T145" s="1" t="str">
        <f t="shared" si="13"/>
        <v>Within Target</v>
      </c>
      <c r="U145" s="1" t="str">
        <f t="shared" si="14"/>
        <v>2025-02</v>
      </c>
      <c r="V145" s="1" t="str">
        <f t="shared" si="15"/>
        <v>Good</v>
      </c>
      <c r="W145" s="1" t="str">
        <f t="shared" si="16"/>
        <v>Pass</v>
      </c>
      <c r="X145" s="1" t="str">
        <f t="shared" si="17"/>
        <v>Unique</v>
      </c>
    </row>
    <row r="146" spans="1:24" ht="15" customHeight="1">
      <c r="A146" s="1" t="str">
        <f>'Raw Tickets'!$A$146</f>
        <v>T00145</v>
      </c>
      <c r="B146" s="4">
        <f>'Raw Tickets'!$B$146</f>
        <v>45989</v>
      </c>
      <c r="C146" s="1" t="str">
        <f>'Raw Tickets'!$C$146</f>
        <v>A017</v>
      </c>
      <c r="D146" s="1" t="str">
        <f>'Raw Tickets'!$D$146</f>
        <v>Email</v>
      </c>
      <c r="E146" s="1" t="str">
        <f>'Raw Tickets'!$E$146</f>
        <v>Refund</v>
      </c>
      <c r="F146" s="1" t="str">
        <f>'Raw Tickets'!$F$146</f>
        <v>Medium</v>
      </c>
      <c r="G146" s="1">
        <f>'Raw Tickets'!$G$146</f>
        <v>30.3</v>
      </c>
      <c r="H146" s="1">
        <f>'Raw Tickets'!$H$146</f>
        <v>47</v>
      </c>
      <c r="I146" s="1">
        <f>'Raw Tickets'!$I$146</f>
        <v>5</v>
      </c>
      <c r="J146" s="6">
        <f>'Raw Tickets'!$J$146</f>
        <v>81.3</v>
      </c>
      <c r="K146" s="1" t="str">
        <f>'Raw Tickets'!$K$146</f>
        <v>Closed</v>
      </c>
      <c r="L146" s="1" t="str">
        <f>'Raw Tickets'!$L$146</f>
        <v>No</v>
      </c>
      <c r="M146" s="1" t="str">
        <f>'Raw Tickets'!$M$146</f>
        <v>No</v>
      </c>
      <c r="N146" s="1" t="str">
        <f>IFERROR(VLOOKUP(C146,Agents!$A$2:$E$26,2,FALSE),"")</f>
        <v>Varun Mehta</v>
      </c>
      <c r="O146" s="1" t="str">
        <f>IFERROR(INDEX(Agents!$D$2:$D$26,MATCH(C146,Agents!$A$2:$A$26,0)),"")</f>
        <v>Escalations</v>
      </c>
      <c r="P146" s="1" t="str">
        <f>IFERROR(VLOOKUP(C146,Agents!$A$2:$E$26,3,FALSE),"")</f>
        <v>Pallavi Rao</v>
      </c>
      <c r="Q146" s="1" t="str">
        <f>IFERROR(VLOOKUP(C146,Agents!$A$2:$E$26,5,FALSE),"")</f>
        <v>Gurugram</v>
      </c>
      <c r="R146" s="1">
        <f>IFERROR(VLOOKUP(F146,#REF!,2,FALSE),0)</f>
        <v>0</v>
      </c>
      <c r="S146" s="1" t="str">
        <f t="shared" si="12"/>
        <v>Breached</v>
      </c>
      <c r="T146" s="1" t="str">
        <f t="shared" si="13"/>
        <v>Late</v>
      </c>
      <c r="U146" s="1" t="str">
        <f t="shared" si="14"/>
        <v>2025-11</v>
      </c>
      <c r="V146" s="1" t="str">
        <f t="shared" si="15"/>
        <v>Good</v>
      </c>
      <c r="W146" s="1" t="str">
        <f t="shared" si="16"/>
        <v>Needs Coaching</v>
      </c>
      <c r="X146" s="1" t="str">
        <f t="shared" si="17"/>
        <v>Unique</v>
      </c>
    </row>
    <row r="147" spans="1:24" ht="15" customHeight="1">
      <c r="A147" s="1" t="str">
        <f>'Raw Tickets'!$A$147</f>
        <v>T00146</v>
      </c>
      <c r="B147" s="4">
        <f>'Raw Tickets'!$B$147</f>
        <v>45760</v>
      </c>
      <c r="C147" s="1" t="str">
        <f>'Raw Tickets'!$C$147</f>
        <v>A018</v>
      </c>
      <c r="D147" s="1" t="str">
        <f>'Raw Tickets'!$D$147</f>
        <v>Chat</v>
      </c>
      <c r="E147" s="1" t="str">
        <f>'Raw Tickets'!$E$147</f>
        <v>Payment Failure</v>
      </c>
      <c r="F147" s="1" t="str">
        <f>'Raw Tickets'!$F$147</f>
        <v>Low</v>
      </c>
      <c r="G147" s="1">
        <f>'Raw Tickets'!$G$147</f>
        <v>29.4</v>
      </c>
      <c r="H147" s="1">
        <f>'Raw Tickets'!$H$147</f>
        <v>19</v>
      </c>
      <c r="I147" s="1">
        <f>'Raw Tickets'!$I$147</f>
        <v>5</v>
      </c>
      <c r="J147" s="6">
        <f>'Raw Tickets'!$J$147</f>
        <v>96</v>
      </c>
      <c r="K147" s="1" t="str">
        <f>'Raw Tickets'!$K$147</f>
        <v>Closed</v>
      </c>
      <c r="L147" s="1" t="str">
        <f>'Raw Tickets'!$L$147</f>
        <v>No</v>
      </c>
      <c r="M147" s="1" t="str">
        <f>'Raw Tickets'!$M$147</f>
        <v>No</v>
      </c>
      <c r="N147" s="1" t="str">
        <f>IFERROR(VLOOKUP(C147,Agents!$A$2:$E$26,2,FALSE),"")</f>
        <v>Rahul Verma</v>
      </c>
      <c r="O147" s="1" t="str">
        <f>IFERROR(INDEX(Agents!$D$2:$D$26,MATCH(C147,Agents!$A$2:$A$26,0)),"")</f>
        <v>Escalations</v>
      </c>
      <c r="P147" s="1" t="str">
        <f>IFERROR(VLOOKUP(C147,Agents!$A$2:$E$26,3,FALSE),"")</f>
        <v>Pallavi Rao</v>
      </c>
      <c r="Q147" s="1" t="str">
        <f>IFERROR(VLOOKUP(C147,Agents!$A$2:$E$26,5,FALSE),"")</f>
        <v>Hyderabad</v>
      </c>
      <c r="R147" s="1">
        <f>IFERROR(VLOOKUP(F147,#REF!,2,FALSE),0)</f>
        <v>0</v>
      </c>
      <c r="S147" s="1" t="str">
        <f t="shared" si="12"/>
        <v>Breached</v>
      </c>
      <c r="T147" s="1" t="str">
        <f t="shared" si="13"/>
        <v>Within Target</v>
      </c>
      <c r="U147" s="1" t="str">
        <f t="shared" si="14"/>
        <v>2025-04</v>
      </c>
      <c r="V147" s="1" t="str">
        <f t="shared" si="15"/>
        <v>Good</v>
      </c>
      <c r="W147" s="1" t="str">
        <f t="shared" si="16"/>
        <v>Pass</v>
      </c>
      <c r="X147" s="1" t="str">
        <f t="shared" si="17"/>
        <v>Unique</v>
      </c>
    </row>
    <row r="148" spans="1:24" ht="15" customHeight="1">
      <c r="A148" s="1" t="str">
        <f>'Raw Tickets'!$A$148</f>
        <v>T00147</v>
      </c>
      <c r="B148" s="4">
        <f>'Raw Tickets'!$B$148</f>
        <v>45848</v>
      </c>
      <c r="C148" s="1" t="str">
        <f>'Raw Tickets'!$C$148</f>
        <v>A003</v>
      </c>
      <c r="D148" s="1" t="str">
        <f>'Raw Tickets'!$D$148</f>
        <v>Call</v>
      </c>
      <c r="E148" s="1" t="str">
        <f>'Raw Tickets'!$E$148</f>
        <v>Refund</v>
      </c>
      <c r="F148" s="1" t="str">
        <f>'Raw Tickets'!$F$148</f>
        <v>High</v>
      </c>
      <c r="G148" s="1">
        <f>'Raw Tickets'!$G$148</f>
        <v>4.4000000000000004</v>
      </c>
      <c r="H148" s="1">
        <f>'Raw Tickets'!$H$148</f>
        <v>23</v>
      </c>
      <c r="I148" s="1">
        <f>'Raw Tickets'!$I$148</f>
        <v>1</v>
      </c>
      <c r="J148" s="6">
        <f>'Raw Tickets'!$J$148</f>
        <v>93.1</v>
      </c>
      <c r="K148" s="1" t="str">
        <f>'Raw Tickets'!$K$148</f>
        <v>Open</v>
      </c>
      <c r="L148" s="1" t="str">
        <f>'Raw Tickets'!$L$148</f>
        <v>No</v>
      </c>
      <c r="M148" s="1" t="str">
        <f>'Raw Tickets'!$M$148</f>
        <v>Yes</v>
      </c>
      <c r="N148" s="1" t="str">
        <f>IFERROR(VLOOKUP(C148,Agents!$A$2:$E$26,2,FALSE),"")</f>
        <v>Kabir Verma</v>
      </c>
      <c r="O148" s="1" t="str">
        <f>IFERROR(INDEX(Agents!$D$2:$D$26,MATCH(C148,Agents!$A$2:$A$26,0)),"")</f>
        <v>Email Support</v>
      </c>
      <c r="P148" s="1" t="str">
        <f>IFERROR(VLOOKUP(C148,Agents!$A$2:$E$26,3,FALSE),"")</f>
        <v>Aman Verma</v>
      </c>
      <c r="Q148" s="1" t="str">
        <f>IFERROR(VLOOKUP(C148,Agents!$A$2:$E$26,5,FALSE),"")</f>
        <v>Gurugram</v>
      </c>
      <c r="R148" s="1">
        <f>IFERROR(VLOOKUP(F148,#REF!,2,FALSE),0)</f>
        <v>0</v>
      </c>
      <c r="S148" s="1" t="str">
        <f t="shared" si="12"/>
        <v>Breached</v>
      </c>
      <c r="T148" s="1" t="str">
        <f t="shared" si="13"/>
        <v>Within Target</v>
      </c>
      <c r="U148" s="1" t="str">
        <f t="shared" si="14"/>
        <v>2025-07</v>
      </c>
      <c r="V148" s="1" t="str">
        <f t="shared" si="15"/>
        <v>Poor</v>
      </c>
      <c r="W148" s="1" t="str">
        <f t="shared" si="16"/>
        <v>Pass</v>
      </c>
      <c r="X148" s="1" t="str">
        <f t="shared" si="17"/>
        <v>Unique</v>
      </c>
    </row>
    <row r="149" spans="1:24" ht="15" customHeight="1">
      <c r="A149" s="1" t="str">
        <f>'Raw Tickets'!$A$149</f>
        <v>T00148</v>
      </c>
      <c r="B149" s="4">
        <f>'Raw Tickets'!$B$149</f>
        <v>45748</v>
      </c>
      <c r="C149" s="1" t="str">
        <f>'Raw Tickets'!$C$149</f>
        <v>A011</v>
      </c>
      <c r="D149" s="1" t="str">
        <f>'Raw Tickets'!$D$149</f>
        <v>Call</v>
      </c>
      <c r="E149" s="1" t="str">
        <f>'Raw Tickets'!$E$149</f>
        <v>Payment Failure</v>
      </c>
      <c r="F149" s="1" t="str">
        <f>'Raw Tickets'!$F$149</f>
        <v>Low</v>
      </c>
      <c r="G149" s="1">
        <f>'Raw Tickets'!$G$149</f>
        <v>48.9</v>
      </c>
      <c r="H149" s="1">
        <f>'Raw Tickets'!$H$149</f>
        <v>23</v>
      </c>
      <c r="I149" s="1">
        <f>'Raw Tickets'!$I$149</f>
        <v>5</v>
      </c>
      <c r="J149" s="6">
        <f>'Raw Tickets'!$J$149</f>
        <v>89.2</v>
      </c>
      <c r="K149" s="1" t="str">
        <f>'Raw Tickets'!$K$149</f>
        <v>Closed</v>
      </c>
      <c r="L149" s="1" t="str">
        <f>'Raw Tickets'!$L$149</f>
        <v>No</v>
      </c>
      <c r="M149" s="1" t="str">
        <f>'Raw Tickets'!$M$149</f>
        <v>No</v>
      </c>
      <c r="N149" s="1" t="str">
        <f>IFERROR(VLOOKUP(C149,Agents!$A$2:$E$26,2,FALSE),"")</f>
        <v>Shreya Singh</v>
      </c>
      <c r="O149" s="1" t="str">
        <f>IFERROR(INDEX(Agents!$D$2:$D$26,MATCH(C149,Agents!$A$2:$A$26,0)),"")</f>
        <v>Chat Support</v>
      </c>
      <c r="P149" s="1" t="str">
        <f>IFERROR(VLOOKUP(C149,Agents!$A$2:$E$26,3,FALSE),"")</f>
        <v>Nitin Gupta</v>
      </c>
      <c r="Q149" s="1" t="str">
        <f>IFERROR(VLOOKUP(C149,Agents!$A$2:$E$26,5,FALSE),"")</f>
        <v>Noida</v>
      </c>
      <c r="R149" s="1">
        <f>IFERROR(VLOOKUP(F149,#REF!,2,FALSE),0)</f>
        <v>0</v>
      </c>
      <c r="S149" s="1" t="str">
        <f t="shared" si="12"/>
        <v>Breached</v>
      </c>
      <c r="T149" s="1" t="str">
        <f t="shared" si="13"/>
        <v>Within Target</v>
      </c>
      <c r="U149" s="1" t="str">
        <f t="shared" si="14"/>
        <v>2025-04</v>
      </c>
      <c r="V149" s="1" t="str">
        <f t="shared" si="15"/>
        <v>Good</v>
      </c>
      <c r="W149" s="1" t="str">
        <f t="shared" si="16"/>
        <v>Pass</v>
      </c>
      <c r="X149" s="1" t="str">
        <f t="shared" si="17"/>
        <v>Unique</v>
      </c>
    </row>
    <row r="150" spans="1:24" ht="15" customHeight="1">
      <c r="A150" s="1" t="str">
        <f>'Raw Tickets'!$A$150</f>
        <v>T00149</v>
      </c>
      <c r="B150" s="4">
        <f>'Raw Tickets'!$B$150</f>
        <v>45684</v>
      </c>
      <c r="C150" s="1" t="str">
        <f>'Raw Tickets'!$C$150</f>
        <v>A018</v>
      </c>
      <c r="D150" s="1" t="str">
        <f>'Raw Tickets'!$D$150</f>
        <v>Chat</v>
      </c>
      <c r="E150" s="1" t="str">
        <f>'Raw Tickets'!$E$150</f>
        <v>Order Cancellation</v>
      </c>
      <c r="F150" s="1" t="str">
        <f>'Raw Tickets'!$F$150</f>
        <v>High</v>
      </c>
      <c r="G150" s="1">
        <f>'Raw Tickets'!$G$150</f>
        <v>11.3</v>
      </c>
      <c r="H150" s="1">
        <f>'Raw Tickets'!$H$150</f>
        <v>23</v>
      </c>
      <c r="I150" s="1">
        <f>'Raw Tickets'!$I$150</f>
        <v>4</v>
      </c>
      <c r="J150" s="6">
        <f>'Raw Tickets'!$J$150</f>
        <v>78.8</v>
      </c>
      <c r="K150" s="1" t="str">
        <f>'Raw Tickets'!$K$150</f>
        <v>Closed</v>
      </c>
      <c r="L150" s="1" t="str">
        <f>'Raw Tickets'!$L$150</f>
        <v>No</v>
      </c>
      <c r="M150" s="1" t="str">
        <f>'Raw Tickets'!$M$150</f>
        <v>No</v>
      </c>
      <c r="N150" s="1" t="str">
        <f>IFERROR(VLOOKUP(C150,Agents!$A$2:$E$26,2,FALSE),"")</f>
        <v>Rahul Verma</v>
      </c>
      <c r="O150" s="1" t="str">
        <f>IFERROR(INDEX(Agents!$D$2:$D$26,MATCH(C150,Agents!$A$2:$A$26,0)),"")</f>
        <v>Escalations</v>
      </c>
      <c r="P150" s="1" t="str">
        <f>IFERROR(VLOOKUP(C150,Agents!$A$2:$E$26,3,FALSE),"")</f>
        <v>Pallavi Rao</v>
      </c>
      <c r="Q150" s="1" t="str">
        <f>IFERROR(VLOOKUP(C150,Agents!$A$2:$E$26,5,FALSE),"")</f>
        <v>Hyderabad</v>
      </c>
      <c r="R150" s="1">
        <f>IFERROR(VLOOKUP(F150,#REF!,2,FALSE),0)</f>
        <v>0</v>
      </c>
      <c r="S150" s="1" t="str">
        <f t="shared" si="12"/>
        <v>Breached</v>
      </c>
      <c r="T150" s="1" t="str">
        <f t="shared" si="13"/>
        <v>Within Target</v>
      </c>
      <c r="U150" s="1" t="str">
        <f t="shared" si="14"/>
        <v>2025-01</v>
      </c>
      <c r="V150" s="1" t="str">
        <f t="shared" si="15"/>
        <v>Good</v>
      </c>
      <c r="W150" s="1" t="str">
        <f t="shared" si="16"/>
        <v>Needs Coaching</v>
      </c>
      <c r="X150" s="1" t="str">
        <f t="shared" si="17"/>
        <v>Unique</v>
      </c>
    </row>
    <row r="151" spans="1:24" ht="15" customHeight="1">
      <c r="A151" s="1" t="str">
        <f>'Raw Tickets'!$A$151</f>
        <v>T00150</v>
      </c>
      <c r="B151" s="4">
        <f>'Raw Tickets'!$B$151</f>
        <v>45853</v>
      </c>
      <c r="C151" s="1" t="str">
        <f>'Raw Tickets'!$C$151</f>
        <v>A005</v>
      </c>
      <c r="D151" s="1" t="str">
        <f>'Raw Tickets'!$D$151</f>
        <v>Email</v>
      </c>
      <c r="E151" s="1" t="str">
        <f>'Raw Tickets'!$E$151</f>
        <v>Product Quality</v>
      </c>
      <c r="F151" s="1" t="str">
        <f>'Raw Tickets'!$F$151</f>
        <v>Medium</v>
      </c>
      <c r="G151" s="1">
        <f>'Raw Tickets'!$G$151</f>
        <v>1.8</v>
      </c>
      <c r="H151" s="1">
        <f>'Raw Tickets'!$H$151</f>
        <v>49</v>
      </c>
      <c r="I151" s="1">
        <f>'Raw Tickets'!$I$151</f>
        <v>3</v>
      </c>
      <c r="J151" s="6">
        <f>'Raw Tickets'!$J$151</f>
        <v>86.9</v>
      </c>
      <c r="K151" s="1" t="str">
        <f>'Raw Tickets'!$K$151</f>
        <v>Closed</v>
      </c>
      <c r="L151" s="1" t="str">
        <f>'Raw Tickets'!$L$151</f>
        <v>No</v>
      </c>
      <c r="M151" s="1" t="str">
        <f>'Raw Tickets'!$M$151</f>
        <v>No</v>
      </c>
      <c r="N151" s="1" t="str">
        <f>IFERROR(VLOOKUP(C151,Agents!$A$2:$E$26,2,FALSE),"")</f>
        <v>Aditi Verma</v>
      </c>
      <c r="O151" s="1" t="str">
        <f>IFERROR(INDEX(Agents!$D$2:$D$26,MATCH(C151,Agents!$A$2:$A$26,0)),"")</f>
        <v>Email Support</v>
      </c>
      <c r="P151" s="1" t="str">
        <f>IFERROR(VLOOKUP(C151,Agents!$A$2:$E$26,3,FALSE),"")</f>
        <v>Aman Verma</v>
      </c>
      <c r="Q151" s="1" t="str">
        <f>IFERROR(VLOOKUP(C151,Agents!$A$2:$E$26,5,FALSE),"")</f>
        <v>Gurugram</v>
      </c>
      <c r="R151" s="1">
        <f>IFERROR(VLOOKUP(F151,#REF!,2,FALSE),0)</f>
        <v>0</v>
      </c>
      <c r="S151" s="1" t="str">
        <f t="shared" si="12"/>
        <v>Breached</v>
      </c>
      <c r="T151" s="1" t="str">
        <f t="shared" si="13"/>
        <v>Late</v>
      </c>
      <c r="U151" s="1" t="str">
        <f t="shared" si="14"/>
        <v>2025-07</v>
      </c>
      <c r="V151" s="1" t="str">
        <f t="shared" si="15"/>
        <v>Average</v>
      </c>
      <c r="W151" s="1" t="str">
        <f t="shared" si="16"/>
        <v>Pass</v>
      </c>
      <c r="X151" s="1" t="str">
        <f t="shared" si="17"/>
        <v>Unique</v>
      </c>
    </row>
    <row r="152" spans="1:24" ht="15" customHeight="1">
      <c r="A152" s="1" t="str">
        <f>'Raw Tickets'!$A$152</f>
        <v>T00151</v>
      </c>
      <c r="B152" s="4">
        <f>'Raw Tickets'!$B$152</f>
        <v>45959</v>
      </c>
      <c r="C152" s="1" t="str">
        <f>'Raw Tickets'!$C$152</f>
        <v>A023</v>
      </c>
      <c r="D152" s="1" t="str">
        <f>'Raw Tickets'!$D$152</f>
        <v>Call</v>
      </c>
      <c r="E152" s="1" t="str">
        <f>'Raw Tickets'!$E$152</f>
        <v>Payment Failure</v>
      </c>
      <c r="F152" s="1" t="str">
        <f>'Raw Tickets'!$F$152</f>
        <v>Low</v>
      </c>
      <c r="G152" s="1">
        <f>'Raw Tickets'!$G$152</f>
        <v>47.7</v>
      </c>
      <c r="H152" s="1">
        <f>'Raw Tickets'!$H$152</f>
        <v>42</v>
      </c>
      <c r="I152" s="1">
        <f>'Raw Tickets'!$I$152</f>
        <v>5</v>
      </c>
      <c r="J152" s="6">
        <f>'Raw Tickets'!$J$152</f>
        <v>96.3</v>
      </c>
      <c r="K152" s="1" t="str">
        <f>'Raw Tickets'!$K$152</f>
        <v>Closed</v>
      </c>
      <c r="L152" s="1" t="str">
        <f>'Raw Tickets'!$L$152</f>
        <v>No</v>
      </c>
      <c r="M152" s="1" t="str">
        <f>'Raw Tickets'!$M$152</f>
        <v>No</v>
      </c>
      <c r="N152" s="1" t="str">
        <f>IFERROR(VLOOKUP(C152,Agents!$A$2:$E$26,2,FALSE),"")</f>
        <v>Ishita Verma</v>
      </c>
      <c r="O152" s="1" t="str">
        <f>IFERROR(INDEX(Agents!$D$2:$D$26,MATCH(C152,Agents!$A$2:$A$26,0)),"")</f>
        <v>Seller Support</v>
      </c>
      <c r="P152" s="1" t="str">
        <f>IFERROR(VLOOKUP(C152,Agents!$A$2:$E$26,3,FALSE),"")</f>
        <v>Vivek Jain</v>
      </c>
      <c r="Q152" s="1" t="str">
        <f>IFERROR(VLOOKUP(C152,Agents!$A$2:$E$26,5,FALSE),"")</f>
        <v>Noida</v>
      </c>
      <c r="R152" s="1">
        <f>IFERROR(VLOOKUP(F152,#REF!,2,FALSE),0)</f>
        <v>0</v>
      </c>
      <c r="S152" s="1" t="str">
        <f t="shared" si="12"/>
        <v>Breached</v>
      </c>
      <c r="T152" s="1" t="str">
        <f t="shared" si="13"/>
        <v>Late</v>
      </c>
      <c r="U152" s="1" t="str">
        <f t="shared" si="14"/>
        <v>2025-10</v>
      </c>
      <c r="V152" s="1" t="str">
        <f t="shared" si="15"/>
        <v>Good</v>
      </c>
      <c r="W152" s="1" t="str">
        <f t="shared" si="16"/>
        <v>Pass</v>
      </c>
      <c r="X152" s="1" t="str">
        <f t="shared" si="17"/>
        <v>Unique</v>
      </c>
    </row>
    <row r="153" spans="1:24" ht="15" customHeight="1">
      <c r="A153" s="1" t="str">
        <f>'Raw Tickets'!$A$153</f>
        <v>T00152</v>
      </c>
      <c r="B153" s="4">
        <f>'Raw Tickets'!$B$153</f>
        <v>45994</v>
      </c>
      <c r="C153" s="1" t="str">
        <f>'Raw Tickets'!$C$153</f>
        <v>A024</v>
      </c>
      <c r="D153" s="1" t="str">
        <f>'Raw Tickets'!$D$153</f>
        <v>Call</v>
      </c>
      <c r="E153" s="1" t="str">
        <f>'Raw Tickets'!$E$153</f>
        <v>Account Issue</v>
      </c>
      <c r="F153" s="1" t="str">
        <f>'Raw Tickets'!$F$153</f>
        <v>Medium</v>
      </c>
      <c r="G153" s="1">
        <f>'Raw Tickets'!$G$153</f>
        <v>35.1</v>
      </c>
      <c r="H153" s="1">
        <f>'Raw Tickets'!$H$153</f>
        <v>22</v>
      </c>
      <c r="I153" s="1">
        <f>'Raw Tickets'!$I$153</f>
        <v>5</v>
      </c>
      <c r="J153" s="6">
        <f>'Raw Tickets'!$J$153</f>
        <v>87.5</v>
      </c>
      <c r="K153" s="1" t="str">
        <f>'Raw Tickets'!$K$153</f>
        <v>Closed</v>
      </c>
      <c r="L153" s="1" t="str">
        <f>'Raw Tickets'!$L$153</f>
        <v>No</v>
      </c>
      <c r="M153" s="1" t="str">
        <f>'Raw Tickets'!$M$153</f>
        <v>No</v>
      </c>
      <c r="N153" s="1" t="str">
        <f>IFERROR(VLOOKUP(C153,Agents!$A$2:$E$26,2,FALSE),"")</f>
        <v>Rohan Verma</v>
      </c>
      <c r="O153" s="1" t="str">
        <f>IFERROR(INDEX(Agents!$D$2:$D$26,MATCH(C153,Agents!$A$2:$A$26,0)),"")</f>
        <v>Seller Support</v>
      </c>
      <c r="P153" s="1" t="str">
        <f>IFERROR(VLOOKUP(C153,Agents!$A$2:$E$26,3,FALSE),"")</f>
        <v>Vivek Jain</v>
      </c>
      <c r="Q153" s="1" t="str">
        <f>IFERROR(VLOOKUP(C153,Agents!$A$2:$E$26,5,FALSE),"")</f>
        <v>Noida</v>
      </c>
      <c r="R153" s="1">
        <f>IFERROR(VLOOKUP(F153,#REF!,2,FALSE),0)</f>
        <v>0</v>
      </c>
      <c r="S153" s="1" t="str">
        <f t="shared" si="12"/>
        <v>Breached</v>
      </c>
      <c r="T153" s="1" t="str">
        <f t="shared" si="13"/>
        <v>Within Target</v>
      </c>
      <c r="U153" s="1" t="str">
        <f t="shared" si="14"/>
        <v>2025-12</v>
      </c>
      <c r="V153" s="1" t="str">
        <f t="shared" si="15"/>
        <v>Good</v>
      </c>
      <c r="W153" s="1" t="str">
        <f t="shared" si="16"/>
        <v>Pass</v>
      </c>
      <c r="X153" s="1" t="str">
        <f t="shared" si="17"/>
        <v>Unique</v>
      </c>
    </row>
    <row r="154" spans="1:24" ht="15" customHeight="1">
      <c r="A154" s="1" t="str">
        <f>'Raw Tickets'!$A$154</f>
        <v>T00153</v>
      </c>
      <c r="B154" s="4">
        <f>'Raw Tickets'!$B$154</f>
        <v>45790</v>
      </c>
      <c r="C154" s="1" t="str">
        <f>'Raw Tickets'!$C$154</f>
        <v>A024</v>
      </c>
      <c r="D154" s="1" t="str">
        <f>'Raw Tickets'!$D$154</f>
        <v>Call</v>
      </c>
      <c r="E154" s="1" t="str">
        <f>'Raw Tickets'!$E$154</f>
        <v>Account Issue</v>
      </c>
      <c r="F154" s="1" t="str">
        <f>'Raw Tickets'!$F$154</f>
        <v>Medium</v>
      </c>
      <c r="G154" s="1">
        <f>'Raw Tickets'!$G$154</f>
        <v>40.4</v>
      </c>
      <c r="H154" s="1">
        <f>'Raw Tickets'!$H$154</f>
        <v>50</v>
      </c>
      <c r="I154" s="1">
        <f>'Raw Tickets'!$I$154</f>
        <v>4</v>
      </c>
      <c r="J154" s="6">
        <f>'Raw Tickets'!$J$154</f>
        <v>71.099999999999994</v>
      </c>
      <c r="K154" s="1" t="str">
        <f>'Raw Tickets'!$K$154</f>
        <v>Closed</v>
      </c>
      <c r="L154" s="1" t="str">
        <f>'Raw Tickets'!$L$154</f>
        <v>No</v>
      </c>
      <c r="M154" s="1" t="str">
        <f>'Raw Tickets'!$M$154</f>
        <v>No</v>
      </c>
      <c r="N154" s="1" t="str">
        <f>IFERROR(VLOOKUP(C154,Agents!$A$2:$E$26,2,FALSE),"")</f>
        <v>Rohan Verma</v>
      </c>
      <c r="O154" s="1" t="str">
        <f>IFERROR(INDEX(Agents!$D$2:$D$26,MATCH(C154,Agents!$A$2:$A$26,0)),"")</f>
        <v>Seller Support</v>
      </c>
      <c r="P154" s="1" t="str">
        <f>IFERROR(VLOOKUP(C154,Agents!$A$2:$E$26,3,FALSE),"")</f>
        <v>Vivek Jain</v>
      </c>
      <c r="Q154" s="1" t="str">
        <f>IFERROR(VLOOKUP(C154,Agents!$A$2:$E$26,5,FALSE),"")</f>
        <v>Noida</v>
      </c>
      <c r="R154" s="1">
        <f>IFERROR(VLOOKUP(F154,#REF!,2,FALSE),0)</f>
        <v>0</v>
      </c>
      <c r="S154" s="1" t="str">
        <f t="shared" si="12"/>
        <v>Breached</v>
      </c>
      <c r="T154" s="1" t="str">
        <f t="shared" si="13"/>
        <v>Late</v>
      </c>
      <c r="U154" s="1" t="str">
        <f t="shared" si="14"/>
        <v>2025-05</v>
      </c>
      <c r="V154" s="1" t="str">
        <f t="shared" si="15"/>
        <v>Good</v>
      </c>
      <c r="W154" s="1" t="str">
        <f t="shared" si="16"/>
        <v>Needs Coaching</v>
      </c>
      <c r="X154" s="1" t="str">
        <f t="shared" si="17"/>
        <v>Unique</v>
      </c>
    </row>
    <row r="155" spans="1:24" ht="15" customHeight="1">
      <c r="A155" s="1" t="str">
        <f>'Raw Tickets'!$A$155</f>
        <v>T00154</v>
      </c>
      <c r="B155" s="4">
        <f>'Raw Tickets'!$B$155</f>
        <v>45664</v>
      </c>
      <c r="C155" s="1" t="str">
        <f>'Raw Tickets'!$C$155</f>
        <v>A015</v>
      </c>
      <c r="D155" s="1" t="str">
        <f>'Raw Tickets'!$D$155</f>
        <v>Chat</v>
      </c>
      <c r="E155" s="1" t="str">
        <f>'Raw Tickets'!$E$155</f>
        <v>Delivery Delay</v>
      </c>
      <c r="F155" s="1" t="str">
        <f>'Raw Tickets'!$F$155</f>
        <v>High</v>
      </c>
      <c r="G155" s="1">
        <f>'Raw Tickets'!$G$155</f>
        <v>0.5</v>
      </c>
      <c r="H155" s="1">
        <f>'Raw Tickets'!$H$155</f>
        <v>1</v>
      </c>
      <c r="I155" s="1">
        <f>'Raw Tickets'!$I$155</f>
        <v>5</v>
      </c>
      <c r="J155" s="6">
        <f>'Raw Tickets'!$J$155</f>
        <v>90.2</v>
      </c>
      <c r="K155" s="1" t="str">
        <f>'Raw Tickets'!$K$155</f>
        <v>Closed</v>
      </c>
      <c r="L155" s="1" t="str">
        <f>'Raw Tickets'!$L$155</f>
        <v>No</v>
      </c>
      <c r="M155" s="1" t="str">
        <f>'Raw Tickets'!$M$155</f>
        <v>Yes</v>
      </c>
      <c r="N155" s="1" t="str">
        <f>IFERROR(VLOOKUP(C155,Agents!$A$2:$E$26,2,FALSE),"")</f>
        <v>Neha Jain</v>
      </c>
      <c r="O155" s="1" t="str">
        <f>IFERROR(INDEX(Agents!$D$2:$D$26,MATCH(C155,Agents!$A$2:$A$26,0)),"")</f>
        <v>Chat Support</v>
      </c>
      <c r="P155" s="1" t="str">
        <f>IFERROR(VLOOKUP(C155,Agents!$A$2:$E$26,3,FALSE),"")</f>
        <v>Nitin Gupta</v>
      </c>
      <c r="Q155" s="1" t="str">
        <f>IFERROR(VLOOKUP(C155,Agents!$A$2:$E$26,5,FALSE),"")</f>
        <v>Bengaluru</v>
      </c>
      <c r="R155" s="1">
        <f>IFERROR(VLOOKUP(F155,#REF!,2,FALSE),0)</f>
        <v>0</v>
      </c>
      <c r="S155" s="1" t="str">
        <f t="shared" si="12"/>
        <v>Breached</v>
      </c>
      <c r="T155" s="1" t="str">
        <f t="shared" si="13"/>
        <v>Within Target</v>
      </c>
      <c r="U155" s="1" t="str">
        <f t="shared" si="14"/>
        <v>2025-01</v>
      </c>
      <c r="V155" s="1" t="str">
        <f t="shared" si="15"/>
        <v>Good</v>
      </c>
      <c r="W155" s="1" t="str">
        <f t="shared" si="16"/>
        <v>Pass</v>
      </c>
      <c r="X155" s="1" t="str">
        <f t="shared" si="17"/>
        <v>Unique</v>
      </c>
    </row>
    <row r="156" spans="1:24" ht="15" customHeight="1">
      <c r="A156" s="1" t="str">
        <f>'Raw Tickets'!$A$156</f>
        <v>T00155</v>
      </c>
      <c r="B156" s="4">
        <f>'Raw Tickets'!$B$156</f>
        <v>45749</v>
      </c>
      <c r="C156" s="1" t="str">
        <f>'Raw Tickets'!$C$156</f>
        <v>A023</v>
      </c>
      <c r="D156" s="1" t="str">
        <f>'Raw Tickets'!$D$156</f>
        <v>Email</v>
      </c>
      <c r="E156" s="1" t="str">
        <f>'Raw Tickets'!$E$156</f>
        <v>Delivery Delay</v>
      </c>
      <c r="F156" s="1" t="str">
        <f>'Raw Tickets'!$F$156</f>
        <v>High</v>
      </c>
      <c r="G156" s="1">
        <f>'Raw Tickets'!$G$156</f>
        <v>11.2</v>
      </c>
      <c r="H156" s="1">
        <f>'Raw Tickets'!$H$156</f>
        <v>1</v>
      </c>
      <c r="I156" s="1">
        <f>'Raw Tickets'!$I$156</f>
        <v>3</v>
      </c>
      <c r="J156" s="6">
        <f>'Raw Tickets'!$J$156</f>
        <v>96.7</v>
      </c>
      <c r="K156" s="1" t="str">
        <f>'Raw Tickets'!$K$156</f>
        <v>Closed</v>
      </c>
      <c r="L156" s="1" t="str">
        <f>'Raw Tickets'!$L$156</f>
        <v>Yes</v>
      </c>
      <c r="M156" s="1" t="str">
        <f>'Raw Tickets'!$M$156</f>
        <v>No</v>
      </c>
      <c r="N156" s="1" t="str">
        <f>IFERROR(VLOOKUP(C156,Agents!$A$2:$E$26,2,FALSE),"")</f>
        <v>Ishita Verma</v>
      </c>
      <c r="O156" s="1" t="str">
        <f>IFERROR(INDEX(Agents!$D$2:$D$26,MATCH(C156,Agents!$A$2:$A$26,0)),"")</f>
        <v>Seller Support</v>
      </c>
      <c r="P156" s="1" t="str">
        <f>IFERROR(VLOOKUP(C156,Agents!$A$2:$E$26,3,FALSE),"")</f>
        <v>Vivek Jain</v>
      </c>
      <c r="Q156" s="1" t="str">
        <f>IFERROR(VLOOKUP(C156,Agents!$A$2:$E$26,5,FALSE),"")</f>
        <v>Noida</v>
      </c>
      <c r="R156" s="1">
        <f>IFERROR(VLOOKUP(F156,#REF!,2,FALSE),0)</f>
        <v>0</v>
      </c>
      <c r="S156" s="1" t="str">
        <f t="shared" si="12"/>
        <v>Breached</v>
      </c>
      <c r="T156" s="1" t="str">
        <f t="shared" si="13"/>
        <v>Within Target</v>
      </c>
      <c r="U156" s="1" t="str">
        <f t="shared" si="14"/>
        <v>2025-04</v>
      </c>
      <c r="V156" s="1" t="str">
        <f t="shared" si="15"/>
        <v>Average</v>
      </c>
      <c r="W156" s="1" t="str">
        <f t="shared" si="16"/>
        <v>Pass</v>
      </c>
      <c r="X156" s="1" t="str">
        <f t="shared" si="17"/>
        <v>Unique</v>
      </c>
    </row>
    <row r="157" spans="1:24" ht="15" customHeight="1">
      <c r="A157" s="1" t="str">
        <f>'Raw Tickets'!$A$157</f>
        <v>T00156</v>
      </c>
      <c r="B157" s="4">
        <f>'Raw Tickets'!$B$157</f>
        <v>45862</v>
      </c>
      <c r="C157" s="1" t="str">
        <f>'Raw Tickets'!$C$157</f>
        <v>A015</v>
      </c>
      <c r="D157" s="1" t="str">
        <f>'Raw Tickets'!$D$157</f>
        <v>Email</v>
      </c>
      <c r="E157" s="1" t="str">
        <f>'Raw Tickets'!$E$157</f>
        <v>Refund</v>
      </c>
      <c r="F157" s="1" t="str">
        <f>'Raw Tickets'!$F$157</f>
        <v>Medium</v>
      </c>
      <c r="G157" s="1">
        <f>'Raw Tickets'!$G$157</f>
        <v>13.7</v>
      </c>
      <c r="H157" s="1">
        <f>'Raw Tickets'!$H$157</f>
        <v>16</v>
      </c>
      <c r="I157" s="1">
        <f>'Raw Tickets'!$I$157</f>
        <v>5</v>
      </c>
      <c r="J157" s="6">
        <f>'Raw Tickets'!$J$157</f>
        <v>80.3</v>
      </c>
      <c r="K157" s="1" t="str">
        <f>'Raw Tickets'!$K$157</f>
        <v>Closed</v>
      </c>
      <c r="L157" s="1" t="str">
        <f>'Raw Tickets'!$L$157</f>
        <v>No</v>
      </c>
      <c r="M157" s="1" t="str">
        <f>'Raw Tickets'!$M$157</f>
        <v>Yes</v>
      </c>
      <c r="N157" s="1" t="str">
        <f>IFERROR(VLOOKUP(C157,Agents!$A$2:$E$26,2,FALSE),"")</f>
        <v>Neha Jain</v>
      </c>
      <c r="O157" s="1" t="str">
        <f>IFERROR(INDEX(Agents!$D$2:$D$26,MATCH(C157,Agents!$A$2:$A$26,0)),"")</f>
        <v>Chat Support</v>
      </c>
      <c r="P157" s="1" t="str">
        <f>IFERROR(VLOOKUP(C157,Agents!$A$2:$E$26,3,FALSE),"")</f>
        <v>Nitin Gupta</v>
      </c>
      <c r="Q157" s="1" t="str">
        <f>IFERROR(VLOOKUP(C157,Agents!$A$2:$E$26,5,FALSE),"")</f>
        <v>Bengaluru</v>
      </c>
      <c r="R157" s="1">
        <f>IFERROR(VLOOKUP(F157,#REF!,2,FALSE),0)</f>
        <v>0</v>
      </c>
      <c r="S157" s="1" t="str">
        <f t="shared" si="12"/>
        <v>Breached</v>
      </c>
      <c r="T157" s="1" t="str">
        <f t="shared" si="13"/>
        <v>Within Target</v>
      </c>
      <c r="U157" s="1" t="str">
        <f t="shared" si="14"/>
        <v>2025-07</v>
      </c>
      <c r="V157" s="1" t="str">
        <f t="shared" si="15"/>
        <v>Good</v>
      </c>
      <c r="W157" s="1" t="str">
        <f t="shared" si="16"/>
        <v>Needs Coaching</v>
      </c>
      <c r="X157" s="1" t="str">
        <f t="shared" si="17"/>
        <v>Unique</v>
      </c>
    </row>
    <row r="158" spans="1:24" ht="15" customHeight="1">
      <c r="A158" s="1" t="str">
        <f>'Raw Tickets'!$A$158</f>
        <v>T00157</v>
      </c>
      <c r="B158" s="4">
        <f>'Raw Tickets'!$B$158</f>
        <v>45926</v>
      </c>
      <c r="C158" s="1" t="str">
        <f>'Raw Tickets'!$C$158</f>
        <v>A010</v>
      </c>
      <c r="D158" s="1" t="str">
        <f>'Raw Tickets'!$D$158</f>
        <v>Chat</v>
      </c>
      <c r="E158" s="1" t="str">
        <f>'Raw Tickets'!$E$158</f>
        <v>Refund</v>
      </c>
      <c r="F158" s="1" t="str">
        <f>'Raw Tickets'!$F$158</f>
        <v>Medium</v>
      </c>
      <c r="G158" s="1">
        <f>'Raw Tickets'!$G$158</f>
        <v>14</v>
      </c>
      <c r="H158" s="1">
        <f>'Raw Tickets'!$H$158</f>
        <v>7</v>
      </c>
      <c r="I158" s="1">
        <f>'Raw Tickets'!$I$158</f>
        <v>5</v>
      </c>
      <c r="J158" s="6">
        <f>'Raw Tickets'!$J$158</f>
        <v>87.5</v>
      </c>
      <c r="K158" s="1" t="str">
        <f>'Raw Tickets'!$K$158</f>
        <v>Closed</v>
      </c>
      <c r="L158" s="1" t="str">
        <f>'Raw Tickets'!$L$158</f>
        <v>No</v>
      </c>
      <c r="M158" s="1" t="str">
        <f>'Raw Tickets'!$M$158</f>
        <v>No</v>
      </c>
      <c r="N158" s="1" t="str">
        <f>IFERROR(VLOOKUP(C158,Agents!$A$2:$E$26,2,FALSE),"")</f>
        <v>Ananya Gupta</v>
      </c>
      <c r="O158" s="1" t="str">
        <f>IFERROR(INDEX(Agents!$D$2:$D$26,MATCH(C158,Agents!$A$2:$A$26,0)),"")</f>
        <v>Voice Support</v>
      </c>
      <c r="P158" s="1" t="str">
        <f>IFERROR(VLOOKUP(C158,Agents!$A$2:$E$26,3,FALSE),"")</f>
        <v>Kritika Shah</v>
      </c>
      <c r="Q158" s="1" t="str">
        <f>IFERROR(VLOOKUP(C158,Agents!$A$2:$E$26,5,FALSE),"")</f>
        <v>Gurugram</v>
      </c>
      <c r="R158" s="1">
        <f>IFERROR(VLOOKUP(F158,#REF!,2,FALSE),0)</f>
        <v>0</v>
      </c>
      <c r="S158" s="1" t="str">
        <f t="shared" si="12"/>
        <v>Breached</v>
      </c>
      <c r="T158" s="1" t="str">
        <f t="shared" si="13"/>
        <v>Within Target</v>
      </c>
      <c r="U158" s="1" t="str">
        <f t="shared" si="14"/>
        <v>2025-09</v>
      </c>
      <c r="V158" s="1" t="str">
        <f t="shared" si="15"/>
        <v>Good</v>
      </c>
      <c r="W158" s="1" t="str">
        <f t="shared" si="16"/>
        <v>Pass</v>
      </c>
      <c r="X158" s="1" t="str">
        <f t="shared" si="17"/>
        <v>Unique</v>
      </c>
    </row>
    <row r="159" spans="1:24" ht="15" customHeight="1">
      <c r="A159" s="1" t="str">
        <f>'Raw Tickets'!$A$159</f>
        <v>T00158</v>
      </c>
      <c r="B159" s="4">
        <f>'Raw Tickets'!$B$159</f>
        <v>45711</v>
      </c>
      <c r="C159" s="1" t="str">
        <f>'Raw Tickets'!$C$159</f>
        <v>A016</v>
      </c>
      <c r="D159" s="1" t="str">
        <f>'Raw Tickets'!$D$159</f>
        <v>Email</v>
      </c>
      <c r="E159" s="1" t="str">
        <f>'Raw Tickets'!$E$159</f>
        <v>Account Issue</v>
      </c>
      <c r="F159" s="1" t="str">
        <f>'Raw Tickets'!$F$159</f>
        <v>Medium</v>
      </c>
      <c r="G159" s="1">
        <f>'Raw Tickets'!$G$159</f>
        <v>4.4000000000000004</v>
      </c>
      <c r="H159" s="1">
        <f>'Raw Tickets'!$H$159</f>
        <v>46</v>
      </c>
      <c r="I159" s="1">
        <f>'Raw Tickets'!$I$159</f>
        <v>4</v>
      </c>
      <c r="J159" s="6">
        <f>'Raw Tickets'!$J$159</f>
        <v>89.6</v>
      </c>
      <c r="K159" s="1" t="str">
        <f>'Raw Tickets'!$K$159</f>
        <v>Closed</v>
      </c>
      <c r="L159" s="1" t="str">
        <f>'Raw Tickets'!$L$159</f>
        <v>No</v>
      </c>
      <c r="M159" s="1" t="str">
        <f>'Raw Tickets'!$M$159</f>
        <v>No</v>
      </c>
      <c r="N159" s="1" t="str">
        <f>IFERROR(VLOOKUP(C159,Agents!$A$2:$E$26,2,FALSE),"")</f>
        <v>Pooja Bansal</v>
      </c>
      <c r="O159" s="1" t="str">
        <f>IFERROR(INDEX(Agents!$D$2:$D$26,MATCH(C159,Agents!$A$2:$A$26,0)),"")</f>
        <v>Escalations</v>
      </c>
      <c r="P159" s="1" t="str">
        <f>IFERROR(VLOOKUP(C159,Agents!$A$2:$E$26,3,FALSE),"")</f>
        <v>Pallavi Rao</v>
      </c>
      <c r="Q159" s="1" t="str">
        <f>IFERROR(VLOOKUP(C159,Agents!$A$2:$E$26,5,FALSE),"")</f>
        <v>Hyderabad</v>
      </c>
      <c r="R159" s="1">
        <f>IFERROR(VLOOKUP(F159,#REF!,2,FALSE),0)</f>
        <v>0</v>
      </c>
      <c r="S159" s="1" t="str">
        <f t="shared" si="12"/>
        <v>Breached</v>
      </c>
      <c r="T159" s="1" t="str">
        <f t="shared" si="13"/>
        <v>Late</v>
      </c>
      <c r="U159" s="1" t="str">
        <f t="shared" si="14"/>
        <v>2025-02</v>
      </c>
      <c r="V159" s="1" t="str">
        <f t="shared" si="15"/>
        <v>Good</v>
      </c>
      <c r="W159" s="1" t="str">
        <f t="shared" si="16"/>
        <v>Pass</v>
      </c>
      <c r="X159" s="1" t="str">
        <f t="shared" si="17"/>
        <v>Unique</v>
      </c>
    </row>
    <row r="160" spans="1:24" ht="15" customHeight="1">
      <c r="A160" s="1" t="str">
        <f>'Raw Tickets'!$A$160</f>
        <v>T00159</v>
      </c>
      <c r="B160" s="4">
        <f>'Raw Tickets'!$B$160</f>
        <v>45874</v>
      </c>
      <c r="C160" s="1" t="str">
        <f>'Raw Tickets'!$C$160</f>
        <v>A003</v>
      </c>
      <c r="D160" s="1" t="str">
        <f>'Raw Tickets'!$D$160</f>
        <v>Chat</v>
      </c>
      <c r="E160" s="1" t="str">
        <f>'Raw Tickets'!$E$160</f>
        <v>Order Cancellation</v>
      </c>
      <c r="F160" s="1" t="str">
        <f>'Raw Tickets'!$F$160</f>
        <v>Low</v>
      </c>
      <c r="G160" s="1">
        <f>'Raw Tickets'!$G$160</f>
        <v>36.5</v>
      </c>
      <c r="H160" s="1">
        <f>'Raw Tickets'!$H$160</f>
        <v>51</v>
      </c>
      <c r="I160" s="1">
        <f>'Raw Tickets'!$I$160</f>
        <v>2</v>
      </c>
      <c r="J160" s="6">
        <f>'Raw Tickets'!$J$160</f>
        <v>81.900000000000006</v>
      </c>
      <c r="K160" s="1" t="str">
        <f>'Raw Tickets'!$K$160</f>
        <v>Closed</v>
      </c>
      <c r="L160" s="1" t="str">
        <f>'Raw Tickets'!$L$160</f>
        <v>No</v>
      </c>
      <c r="M160" s="1" t="str">
        <f>'Raw Tickets'!$M$160</f>
        <v>No</v>
      </c>
      <c r="N160" s="1" t="str">
        <f>IFERROR(VLOOKUP(C160,Agents!$A$2:$E$26,2,FALSE),"")</f>
        <v>Kabir Verma</v>
      </c>
      <c r="O160" s="1" t="str">
        <f>IFERROR(INDEX(Agents!$D$2:$D$26,MATCH(C160,Agents!$A$2:$A$26,0)),"")</f>
        <v>Email Support</v>
      </c>
      <c r="P160" s="1" t="str">
        <f>IFERROR(VLOOKUP(C160,Agents!$A$2:$E$26,3,FALSE),"")</f>
        <v>Aman Verma</v>
      </c>
      <c r="Q160" s="1" t="str">
        <f>IFERROR(VLOOKUP(C160,Agents!$A$2:$E$26,5,FALSE),"")</f>
        <v>Gurugram</v>
      </c>
      <c r="R160" s="1">
        <f>IFERROR(VLOOKUP(F160,#REF!,2,FALSE),0)</f>
        <v>0</v>
      </c>
      <c r="S160" s="1" t="str">
        <f t="shared" si="12"/>
        <v>Breached</v>
      </c>
      <c r="T160" s="1" t="str">
        <f t="shared" si="13"/>
        <v>Late</v>
      </c>
      <c r="U160" s="1" t="str">
        <f t="shared" si="14"/>
        <v>2025-08</v>
      </c>
      <c r="V160" s="1" t="str">
        <f t="shared" si="15"/>
        <v>Poor</v>
      </c>
      <c r="W160" s="1" t="str">
        <f t="shared" si="16"/>
        <v>Needs Coaching</v>
      </c>
      <c r="X160" s="1" t="str">
        <f t="shared" si="17"/>
        <v>Unique</v>
      </c>
    </row>
    <row r="161" spans="1:24" ht="15" customHeight="1">
      <c r="A161" s="1" t="str">
        <f>'Raw Tickets'!$A$161</f>
        <v>T00160</v>
      </c>
      <c r="B161" s="4">
        <f>'Raw Tickets'!$B$161</f>
        <v>45949</v>
      </c>
      <c r="C161" s="1" t="str">
        <f>'Raw Tickets'!$C$161</f>
        <v>A009</v>
      </c>
      <c r="D161" s="1" t="str">
        <f>'Raw Tickets'!$D$161</f>
        <v>Chat</v>
      </c>
      <c r="E161" s="1" t="str">
        <f>'Raw Tickets'!$E$161</f>
        <v>Order Cancellation</v>
      </c>
      <c r="F161" s="1" t="str">
        <f>'Raw Tickets'!$F$161</f>
        <v>Medium</v>
      </c>
      <c r="G161" s="1">
        <f>'Raw Tickets'!$G$161</f>
        <v>39.200000000000003</v>
      </c>
      <c r="H161" s="1">
        <f>'Raw Tickets'!$H$161</f>
        <v>5</v>
      </c>
      <c r="I161" s="1">
        <f>'Raw Tickets'!$I$161</f>
        <v>4</v>
      </c>
      <c r="J161" s="6">
        <f>'Raw Tickets'!$J$161</f>
        <v>85.8</v>
      </c>
      <c r="K161" s="1" t="str">
        <f>'Raw Tickets'!$K$161</f>
        <v>Closed</v>
      </c>
      <c r="L161" s="1" t="str">
        <f>'Raw Tickets'!$L$161</f>
        <v>No</v>
      </c>
      <c r="M161" s="1" t="str">
        <f>'Raw Tickets'!$M$161</f>
        <v>No</v>
      </c>
      <c r="N161" s="1" t="str">
        <f>IFERROR(VLOOKUP(C161,Agents!$A$2:$E$26,2,FALSE),"")</f>
        <v>Divya Mehta</v>
      </c>
      <c r="O161" s="1" t="str">
        <f>IFERROR(INDEX(Agents!$D$2:$D$26,MATCH(C161,Agents!$A$2:$A$26,0)),"")</f>
        <v>Voice Support</v>
      </c>
      <c r="P161" s="1" t="str">
        <f>IFERROR(VLOOKUP(C161,Agents!$A$2:$E$26,3,FALSE),"")</f>
        <v>Kritika Shah</v>
      </c>
      <c r="Q161" s="1" t="str">
        <f>IFERROR(VLOOKUP(C161,Agents!$A$2:$E$26,5,FALSE),"")</f>
        <v>Gurugram</v>
      </c>
      <c r="R161" s="1">
        <f>IFERROR(VLOOKUP(F161,#REF!,2,FALSE),0)</f>
        <v>0</v>
      </c>
      <c r="S161" s="1" t="str">
        <f t="shared" si="12"/>
        <v>Breached</v>
      </c>
      <c r="T161" s="1" t="str">
        <f t="shared" si="13"/>
        <v>Within Target</v>
      </c>
      <c r="U161" s="1" t="str">
        <f t="shared" si="14"/>
        <v>2025-10</v>
      </c>
      <c r="V161" s="1" t="str">
        <f t="shared" si="15"/>
        <v>Good</v>
      </c>
      <c r="W161" s="1" t="str">
        <f t="shared" si="16"/>
        <v>Pass</v>
      </c>
      <c r="X161" s="1" t="str">
        <f t="shared" si="17"/>
        <v>Unique</v>
      </c>
    </row>
    <row r="162" spans="1:24" ht="15" customHeight="1">
      <c r="A162" s="1" t="str">
        <f>'Raw Tickets'!$A$162</f>
        <v>T00161</v>
      </c>
      <c r="B162" s="4">
        <f>'Raw Tickets'!$B$162</f>
        <v>45727</v>
      </c>
      <c r="C162" s="1" t="str">
        <f>'Raw Tickets'!$C$162</f>
        <v>A001</v>
      </c>
      <c r="D162" s="1" t="str">
        <f>'Raw Tickets'!$D$162</f>
        <v>Chat</v>
      </c>
      <c r="E162" s="1" t="str">
        <f>'Raw Tickets'!$E$162</f>
        <v>Delivery Delay</v>
      </c>
      <c r="F162" s="1" t="str">
        <f>'Raw Tickets'!$F$162</f>
        <v>Medium</v>
      </c>
      <c r="G162" s="1">
        <f>'Raw Tickets'!$G$162</f>
        <v>23.8</v>
      </c>
      <c r="H162" s="1">
        <f>'Raw Tickets'!$H$162</f>
        <v>47</v>
      </c>
      <c r="I162" s="1">
        <f>'Raw Tickets'!$I$162</f>
        <v>5</v>
      </c>
      <c r="J162" s="6">
        <f>'Raw Tickets'!$J$162</f>
        <v>85.8</v>
      </c>
      <c r="K162" s="1" t="str">
        <f>'Raw Tickets'!$K$162</f>
        <v>Closed</v>
      </c>
      <c r="L162" s="1" t="str">
        <f>'Raw Tickets'!$L$162</f>
        <v>No</v>
      </c>
      <c r="M162" s="1" t="str">
        <f>'Raw Tickets'!$M$162</f>
        <v>No</v>
      </c>
      <c r="N162" s="1" t="str">
        <f>IFERROR(VLOOKUP(C162,Agents!$A$2:$E$26,2,FALSE),"")</f>
        <v>Ishita Patel</v>
      </c>
      <c r="O162" s="1" t="str">
        <f>IFERROR(INDEX(Agents!$D$2:$D$26,MATCH(C162,Agents!$A$2:$A$26,0)),"")</f>
        <v>Email Support</v>
      </c>
      <c r="P162" s="1" t="str">
        <f>IFERROR(VLOOKUP(C162,Agents!$A$2:$E$26,3,FALSE),"")</f>
        <v>Aman Verma</v>
      </c>
      <c r="Q162" s="1" t="str">
        <f>IFERROR(VLOOKUP(C162,Agents!$A$2:$E$26,5,FALSE),"")</f>
        <v>Gurugram</v>
      </c>
      <c r="R162" s="1">
        <f>IFERROR(VLOOKUP(F162,#REF!,2,FALSE),0)</f>
        <v>0</v>
      </c>
      <c r="S162" s="1" t="str">
        <f t="shared" si="12"/>
        <v>Breached</v>
      </c>
      <c r="T162" s="1" t="str">
        <f t="shared" si="13"/>
        <v>Late</v>
      </c>
      <c r="U162" s="1" t="str">
        <f t="shared" si="14"/>
        <v>2025-03</v>
      </c>
      <c r="V162" s="1" t="str">
        <f t="shared" si="15"/>
        <v>Good</v>
      </c>
      <c r="W162" s="1" t="str">
        <f t="shared" si="16"/>
        <v>Pass</v>
      </c>
      <c r="X162" s="1" t="str">
        <f t="shared" si="17"/>
        <v>Unique</v>
      </c>
    </row>
    <row r="163" spans="1:24" ht="15" customHeight="1">
      <c r="A163" s="1" t="str">
        <f>'Raw Tickets'!$A$163</f>
        <v>T00162</v>
      </c>
      <c r="B163" s="4">
        <f>'Raw Tickets'!$B$163</f>
        <v>45986</v>
      </c>
      <c r="C163" s="1" t="str">
        <f>'Raw Tickets'!$C$163</f>
        <v>A025</v>
      </c>
      <c r="D163" s="1" t="str">
        <f>'Raw Tickets'!$D$163</f>
        <v>Chat</v>
      </c>
      <c r="E163" s="1" t="str">
        <f>'Raw Tickets'!$E$163</f>
        <v>Order Cancellation</v>
      </c>
      <c r="F163" s="1" t="str">
        <f>'Raw Tickets'!$F$163</f>
        <v>Medium</v>
      </c>
      <c r="G163" s="1">
        <f>'Raw Tickets'!$G$163</f>
        <v>18.399999999999999</v>
      </c>
      <c r="H163" s="1">
        <f>'Raw Tickets'!$H$163</f>
        <v>40</v>
      </c>
      <c r="I163" s="1">
        <f>'Raw Tickets'!$I$163</f>
        <v>3</v>
      </c>
      <c r="J163" s="6">
        <f>'Raw Tickets'!$J$163</f>
        <v>81.8</v>
      </c>
      <c r="K163" s="1" t="str">
        <f>'Raw Tickets'!$K$163</f>
        <v>Closed</v>
      </c>
      <c r="L163" s="1" t="str">
        <f>'Raw Tickets'!$L$163</f>
        <v>No</v>
      </c>
      <c r="M163" s="1" t="str">
        <f>'Raw Tickets'!$M$163</f>
        <v>No</v>
      </c>
      <c r="N163" s="1" t="str">
        <f>IFERROR(VLOOKUP(C163,Agents!$A$2:$E$26,2,FALSE),"")</f>
        <v>Arjun Nair</v>
      </c>
      <c r="O163" s="1" t="str">
        <f>IFERROR(INDEX(Agents!$D$2:$D$26,MATCH(C163,Agents!$A$2:$A$26,0)),"")</f>
        <v>Seller Support</v>
      </c>
      <c r="P163" s="1" t="str">
        <f>IFERROR(VLOOKUP(C163,Agents!$A$2:$E$26,3,FALSE),"")</f>
        <v>Vivek Jain</v>
      </c>
      <c r="Q163" s="1" t="str">
        <f>IFERROR(VLOOKUP(C163,Agents!$A$2:$E$26,5,FALSE),"")</f>
        <v>Noida</v>
      </c>
      <c r="R163" s="1">
        <f>IFERROR(VLOOKUP(F163,#REF!,2,FALSE),0)</f>
        <v>0</v>
      </c>
      <c r="S163" s="1" t="str">
        <f t="shared" si="12"/>
        <v>Breached</v>
      </c>
      <c r="T163" s="1" t="str">
        <f t="shared" si="13"/>
        <v>Late</v>
      </c>
      <c r="U163" s="1" t="str">
        <f t="shared" si="14"/>
        <v>2025-11</v>
      </c>
      <c r="V163" s="1" t="str">
        <f t="shared" si="15"/>
        <v>Average</v>
      </c>
      <c r="W163" s="1" t="str">
        <f t="shared" si="16"/>
        <v>Needs Coaching</v>
      </c>
      <c r="X163" s="1" t="str">
        <f t="shared" si="17"/>
        <v>Unique</v>
      </c>
    </row>
    <row r="164" spans="1:24" ht="15" customHeight="1">
      <c r="A164" s="1" t="str">
        <f>'Raw Tickets'!$A$164</f>
        <v>T00163</v>
      </c>
      <c r="B164" s="4">
        <f>'Raw Tickets'!$B$164</f>
        <v>46022</v>
      </c>
      <c r="C164" s="1" t="str">
        <f>'Raw Tickets'!$C$164</f>
        <v>A020</v>
      </c>
      <c r="D164" s="1" t="str">
        <f>'Raw Tickets'!$D$164</f>
        <v>Call</v>
      </c>
      <c r="E164" s="1" t="str">
        <f>'Raw Tickets'!$E$164</f>
        <v>Product Quality</v>
      </c>
      <c r="F164" s="1" t="str">
        <f>'Raw Tickets'!$F$164</f>
        <v>High</v>
      </c>
      <c r="G164" s="1">
        <f>'Raw Tickets'!$G$164</f>
        <v>18.2</v>
      </c>
      <c r="H164" s="1">
        <f>'Raw Tickets'!$H$164</f>
        <v>19</v>
      </c>
      <c r="I164" s="1">
        <f>'Raw Tickets'!$I$164</f>
        <v>4</v>
      </c>
      <c r="J164" s="6">
        <f>'Raw Tickets'!$J$164</f>
        <v>81.400000000000006</v>
      </c>
      <c r="K164" s="1" t="str">
        <f>'Raw Tickets'!$K$164</f>
        <v>Closed</v>
      </c>
      <c r="L164" s="1" t="str">
        <f>'Raw Tickets'!$L$164</f>
        <v>No</v>
      </c>
      <c r="M164" s="1" t="str">
        <f>'Raw Tickets'!$M$164</f>
        <v>No</v>
      </c>
      <c r="N164" s="1" t="str">
        <f>IFERROR(VLOOKUP(C164,Agents!$A$2:$E$26,2,FALSE),"")</f>
        <v>Aditi Bansal</v>
      </c>
      <c r="O164" s="1" t="str">
        <f>IFERROR(INDEX(Agents!$D$2:$D$26,MATCH(C164,Agents!$A$2:$A$26,0)),"")</f>
        <v>Escalations</v>
      </c>
      <c r="P164" s="1" t="str">
        <f>IFERROR(VLOOKUP(C164,Agents!$A$2:$E$26,3,FALSE),"")</f>
        <v>Pallavi Rao</v>
      </c>
      <c r="Q164" s="1" t="str">
        <f>IFERROR(VLOOKUP(C164,Agents!$A$2:$E$26,5,FALSE),"")</f>
        <v>Noida</v>
      </c>
      <c r="R164" s="1">
        <f>IFERROR(VLOOKUP(F164,#REF!,2,FALSE),0)</f>
        <v>0</v>
      </c>
      <c r="S164" s="1" t="str">
        <f t="shared" si="12"/>
        <v>Breached</v>
      </c>
      <c r="T164" s="1" t="str">
        <f t="shared" si="13"/>
        <v>Within Target</v>
      </c>
      <c r="U164" s="1" t="str">
        <f t="shared" si="14"/>
        <v>2025-12</v>
      </c>
      <c r="V164" s="1" t="str">
        <f t="shared" si="15"/>
        <v>Good</v>
      </c>
      <c r="W164" s="1" t="str">
        <f t="shared" si="16"/>
        <v>Needs Coaching</v>
      </c>
      <c r="X164" s="1" t="str">
        <f t="shared" si="17"/>
        <v>Unique</v>
      </c>
    </row>
    <row r="165" spans="1:24" ht="15" customHeight="1">
      <c r="A165" s="1" t="str">
        <f>'Raw Tickets'!$A$165</f>
        <v>T00164</v>
      </c>
      <c r="B165" s="4">
        <f>'Raw Tickets'!$B$165</f>
        <v>45674</v>
      </c>
      <c r="C165" s="1" t="str">
        <f>'Raw Tickets'!$C$165</f>
        <v>A002</v>
      </c>
      <c r="D165" s="1" t="str">
        <f>'Raw Tickets'!$D$165</f>
        <v>Email</v>
      </c>
      <c r="E165" s="1" t="str">
        <f>'Raw Tickets'!$E$165</f>
        <v>Delivery Delay</v>
      </c>
      <c r="F165" s="1" t="str">
        <f>'Raw Tickets'!$F$165</f>
        <v>Medium</v>
      </c>
      <c r="G165" s="1">
        <f>'Raw Tickets'!$G$165</f>
        <v>23.2</v>
      </c>
      <c r="H165" s="1">
        <f>'Raw Tickets'!$H$165</f>
        <v>65</v>
      </c>
      <c r="I165" s="1">
        <f>'Raw Tickets'!$I$165</f>
        <v>4</v>
      </c>
      <c r="J165" s="6">
        <f>'Raw Tickets'!$J$165</f>
        <v>100</v>
      </c>
      <c r="K165" s="1" t="str">
        <f>'Raw Tickets'!$K$165</f>
        <v>Closed</v>
      </c>
      <c r="L165" s="1" t="str">
        <f>'Raw Tickets'!$L$165</f>
        <v>No</v>
      </c>
      <c r="M165" s="1" t="str">
        <f>'Raw Tickets'!$M$165</f>
        <v>No</v>
      </c>
      <c r="N165" s="1" t="str">
        <f>IFERROR(VLOOKUP(C165,Agents!$A$2:$E$26,2,FALSE),"")</f>
        <v>Gaurav Khan</v>
      </c>
      <c r="O165" s="1" t="str">
        <f>IFERROR(INDEX(Agents!$D$2:$D$26,MATCH(C165,Agents!$A$2:$A$26,0)),"")</f>
        <v>Email Support</v>
      </c>
      <c r="P165" s="1" t="str">
        <f>IFERROR(VLOOKUP(C165,Agents!$A$2:$E$26,3,FALSE),"")</f>
        <v>Aman Verma</v>
      </c>
      <c r="Q165" s="1" t="str">
        <f>IFERROR(VLOOKUP(C165,Agents!$A$2:$E$26,5,FALSE),"")</f>
        <v>Noida</v>
      </c>
      <c r="R165" s="1">
        <f>IFERROR(VLOOKUP(F165,#REF!,2,FALSE),0)</f>
        <v>0</v>
      </c>
      <c r="S165" s="1" t="str">
        <f t="shared" si="12"/>
        <v>Breached</v>
      </c>
      <c r="T165" s="1" t="str">
        <f t="shared" si="13"/>
        <v>Late</v>
      </c>
      <c r="U165" s="1" t="str">
        <f t="shared" si="14"/>
        <v>2025-01</v>
      </c>
      <c r="V165" s="1" t="str">
        <f t="shared" si="15"/>
        <v>Good</v>
      </c>
      <c r="W165" s="1" t="str">
        <f t="shared" si="16"/>
        <v>Pass</v>
      </c>
      <c r="X165" s="1" t="str">
        <f t="shared" si="17"/>
        <v>Unique</v>
      </c>
    </row>
    <row r="166" spans="1:24" ht="15" customHeight="1">
      <c r="A166" s="1" t="str">
        <f>'Raw Tickets'!$A$166</f>
        <v>T00165</v>
      </c>
      <c r="B166" s="4">
        <f>'Raw Tickets'!$B$166</f>
        <v>45770</v>
      </c>
      <c r="C166" s="1" t="str">
        <f>'Raw Tickets'!$C$166</f>
        <v>A005</v>
      </c>
      <c r="D166" s="1" t="str">
        <f>'Raw Tickets'!$D$166</f>
        <v>Email</v>
      </c>
      <c r="E166" s="1" t="str">
        <f>'Raw Tickets'!$E$166</f>
        <v>Payment Failure</v>
      </c>
      <c r="F166" s="1" t="str">
        <f>'Raw Tickets'!$F$166</f>
        <v>Medium</v>
      </c>
      <c r="G166" s="1">
        <f>'Raw Tickets'!$G$166</f>
        <v>14.5</v>
      </c>
      <c r="H166" s="1">
        <f>'Raw Tickets'!$H$166</f>
        <v>56</v>
      </c>
      <c r="I166" s="1">
        <f>'Raw Tickets'!$I$166</f>
        <v>4</v>
      </c>
      <c r="J166" s="6">
        <f>'Raw Tickets'!$J$166</f>
        <v>94.8</v>
      </c>
      <c r="K166" s="1" t="str">
        <f>'Raw Tickets'!$K$166</f>
        <v>Closed</v>
      </c>
      <c r="L166" s="1" t="str">
        <f>'Raw Tickets'!$L$166</f>
        <v>No</v>
      </c>
      <c r="M166" s="1" t="str">
        <f>'Raw Tickets'!$M$166</f>
        <v>No</v>
      </c>
      <c r="N166" s="1" t="str">
        <f>IFERROR(VLOOKUP(C166,Agents!$A$2:$E$26,2,FALSE),"")</f>
        <v>Aditi Verma</v>
      </c>
      <c r="O166" s="1" t="str">
        <f>IFERROR(INDEX(Agents!$D$2:$D$26,MATCH(C166,Agents!$A$2:$A$26,0)),"")</f>
        <v>Email Support</v>
      </c>
      <c r="P166" s="1" t="str">
        <f>IFERROR(VLOOKUP(C166,Agents!$A$2:$E$26,3,FALSE),"")</f>
        <v>Aman Verma</v>
      </c>
      <c r="Q166" s="1" t="str">
        <f>IFERROR(VLOOKUP(C166,Agents!$A$2:$E$26,5,FALSE),"")</f>
        <v>Gurugram</v>
      </c>
      <c r="R166" s="1">
        <f>IFERROR(VLOOKUP(F166,#REF!,2,FALSE),0)</f>
        <v>0</v>
      </c>
      <c r="S166" s="1" t="str">
        <f t="shared" si="12"/>
        <v>Breached</v>
      </c>
      <c r="T166" s="1" t="str">
        <f t="shared" si="13"/>
        <v>Late</v>
      </c>
      <c r="U166" s="1" t="str">
        <f t="shared" si="14"/>
        <v>2025-04</v>
      </c>
      <c r="V166" s="1" t="str">
        <f t="shared" si="15"/>
        <v>Good</v>
      </c>
      <c r="W166" s="1" t="str">
        <f t="shared" si="16"/>
        <v>Pass</v>
      </c>
      <c r="X166" s="1" t="str">
        <f t="shared" si="17"/>
        <v>Unique</v>
      </c>
    </row>
    <row r="167" spans="1:24" ht="15" customHeight="1">
      <c r="A167" s="1" t="str">
        <f>'Raw Tickets'!$A$167</f>
        <v>T00166</v>
      </c>
      <c r="B167" s="4">
        <f>'Raw Tickets'!$B$167</f>
        <v>45677</v>
      </c>
      <c r="C167" s="1" t="str">
        <f>'Raw Tickets'!$C$167</f>
        <v>A003</v>
      </c>
      <c r="D167" s="1" t="str">
        <f>'Raw Tickets'!$D$167</f>
        <v>Chat</v>
      </c>
      <c r="E167" s="1" t="str">
        <f>'Raw Tickets'!$E$167</f>
        <v>Product Quality</v>
      </c>
      <c r="F167" s="1" t="str">
        <f>'Raw Tickets'!$F$167</f>
        <v>Medium</v>
      </c>
      <c r="G167" s="1">
        <f>'Raw Tickets'!$G$167</f>
        <v>5.5</v>
      </c>
      <c r="H167" s="1">
        <f>'Raw Tickets'!$H$167</f>
        <v>40</v>
      </c>
      <c r="I167" s="1">
        <f>'Raw Tickets'!$I$167</f>
        <v>2</v>
      </c>
      <c r="J167" s="6">
        <f>'Raw Tickets'!$J$167</f>
        <v>84.1</v>
      </c>
      <c r="K167" s="1" t="str">
        <f>'Raw Tickets'!$K$167</f>
        <v>Closed</v>
      </c>
      <c r="L167" s="1" t="str">
        <f>'Raw Tickets'!$L$167</f>
        <v>Yes</v>
      </c>
      <c r="M167" s="1" t="str">
        <f>'Raw Tickets'!$M$167</f>
        <v>No</v>
      </c>
      <c r="N167" s="1" t="str">
        <f>IFERROR(VLOOKUP(C167,Agents!$A$2:$E$26,2,FALSE),"")</f>
        <v>Kabir Verma</v>
      </c>
      <c r="O167" s="1" t="str">
        <f>IFERROR(INDEX(Agents!$D$2:$D$26,MATCH(C167,Agents!$A$2:$A$26,0)),"")</f>
        <v>Email Support</v>
      </c>
      <c r="P167" s="1" t="str">
        <f>IFERROR(VLOOKUP(C167,Agents!$A$2:$E$26,3,FALSE),"")</f>
        <v>Aman Verma</v>
      </c>
      <c r="Q167" s="1" t="str">
        <f>IFERROR(VLOOKUP(C167,Agents!$A$2:$E$26,5,FALSE),"")</f>
        <v>Gurugram</v>
      </c>
      <c r="R167" s="1">
        <f>IFERROR(VLOOKUP(F167,#REF!,2,FALSE),0)</f>
        <v>0</v>
      </c>
      <c r="S167" s="1" t="str">
        <f t="shared" si="12"/>
        <v>Breached</v>
      </c>
      <c r="T167" s="1" t="str">
        <f t="shared" si="13"/>
        <v>Late</v>
      </c>
      <c r="U167" s="1" t="str">
        <f t="shared" si="14"/>
        <v>2025-01</v>
      </c>
      <c r="V167" s="1" t="str">
        <f t="shared" si="15"/>
        <v>Poor</v>
      </c>
      <c r="W167" s="1" t="str">
        <f t="shared" si="16"/>
        <v>Needs Coaching</v>
      </c>
      <c r="X167" s="1" t="str">
        <f t="shared" si="17"/>
        <v>Unique</v>
      </c>
    </row>
    <row r="168" spans="1:24" ht="15" customHeight="1">
      <c r="A168" s="1" t="str">
        <f>'Raw Tickets'!$A$168</f>
        <v>T00167</v>
      </c>
      <c r="B168" s="4">
        <f>'Raw Tickets'!$B$168</f>
        <v>45731</v>
      </c>
      <c r="C168" s="1" t="str">
        <f>'Raw Tickets'!$C$168</f>
        <v>A023</v>
      </c>
      <c r="D168" s="1" t="str">
        <f>'Raw Tickets'!$D$168</f>
        <v>Call</v>
      </c>
      <c r="E168" s="1" t="str">
        <f>'Raw Tickets'!$E$168</f>
        <v>Account Issue</v>
      </c>
      <c r="F168" s="1" t="str">
        <f>'Raw Tickets'!$F$168</f>
        <v>Medium</v>
      </c>
      <c r="G168" s="1">
        <f>'Raw Tickets'!$G$168</f>
        <v>0.6</v>
      </c>
      <c r="H168" s="1">
        <f>'Raw Tickets'!$H$168</f>
        <v>54</v>
      </c>
      <c r="I168" s="1">
        <f>'Raw Tickets'!$I$168</f>
        <v>4</v>
      </c>
      <c r="J168" s="6">
        <f>'Raw Tickets'!$J$168</f>
        <v>78.900000000000006</v>
      </c>
      <c r="K168" s="1" t="str">
        <f>'Raw Tickets'!$K$168</f>
        <v>Closed</v>
      </c>
      <c r="L168" s="1" t="str">
        <f>'Raw Tickets'!$L$168</f>
        <v>No</v>
      </c>
      <c r="M168" s="1" t="str">
        <f>'Raw Tickets'!$M$168</f>
        <v>No</v>
      </c>
      <c r="N168" s="1" t="str">
        <f>IFERROR(VLOOKUP(C168,Agents!$A$2:$E$26,2,FALSE),"")</f>
        <v>Ishita Verma</v>
      </c>
      <c r="O168" s="1" t="str">
        <f>IFERROR(INDEX(Agents!$D$2:$D$26,MATCH(C168,Agents!$A$2:$A$26,0)),"")</f>
        <v>Seller Support</v>
      </c>
      <c r="P168" s="1" t="str">
        <f>IFERROR(VLOOKUP(C168,Agents!$A$2:$E$26,3,FALSE),"")</f>
        <v>Vivek Jain</v>
      </c>
      <c r="Q168" s="1" t="str">
        <f>IFERROR(VLOOKUP(C168,Agents!$A$2:$E$26,5,FALSE),"")</f>
        <v>Noida</v>
      </c>
      <c r="R168" s="1">
        <f>IFERROR(VLOOKUP(F168,#REF!,2,FALSE),0)</f>
        <v>0</v>
      </c>
      <c r="S168" s="1" t="str">
        <f t="shared" si="12"/>
        <v>Breached</v>
      </c>
      <c r="T168" s="1" t="str">
        <f t="shared" si="13"/>
        <v>Late</v>
      </c>
      <c r="U168" s="1" t="str">
        <f t="shared" si="14"/>
        <v>2025-03</v>
      </c>
      <c r="V168" s="1" t="str">
        <f t="shared" si="15"/>
        <v>Good</v>
      </c>
      <c r="W168" s="1" t="str">
        <f t="shared" si="16"/>
        <v>Needs Coaching</v>
      </c>
      <c r="X168" s="1" t="str">
        <f t="shared" si="17"/>
        <v>Unique</v>
      </c>
    </row>
    <row r="169" spans="1:24" ht="15" customHeight="1">
      <c r="A169" s="1" t="str">
        <f>'Raw Tickets'!$A$169</f>
        <v>T00168</v>
      </c>
      <c r="B169" s="4">
        <f>'Raw Tickets'!$B$169</f>
        <v>45980</v>
      </c>
      <c r="C169" s="1" t="str">
        <f>'Raw Tickets'!$C$169</f>
        <v>A006</v>
      </c>
      <c r="D169" s="1" t="str">
        <f>'Raw Tickets'!$D$169</f>
        <v>Call</v>
      </c>
      <c r="E169" s="1" t="str">
        <f>'Raw Tickets'!$E$169</f>
        <v>Account Issue</v>
      </c>
      <c r="F169" s="1" t="str">
        <f>'Raw Tickets'!$F$169</f>
        <v>Low</v>
      </c>
      <c r="G169" s="1">
        <f>'Raw Tickets'!$G$169</f>
        <v>32.9</v>
      </c>
      <c r="H169" s="1">
        <f>'Raw Tickets'!$H$169</f>
        <v>18</v>
      </c>
      <c r="I169" s="1">
        <f>'Raw Tickets'!$I$169</f>
        <v>3</v>
      </c>
      <c r="J169" s="6">
        <f>'Raw Tickets'!$J$169</f>
        <v>97.1</v>
      </c>
      <c r="K169" s="1" t="str">
        <f>'Raw Tickets'!$K$169</f>
        <v>Closed</v>
      </c>
      <c r="L169" s="1" t="str">
        <f>'Raw Tickets'!$L$169</f>
        <v>No</v>
      </c>
      <c r="M169" s="1" t="str">
        <f>'Raw Tickets'!$M$169</f>
        <v>No</v>
      </c>
      <c r="N169" s="1" t="str">
        <f>IFERROR(VLOOKUP(C169,Agents!$A$2:$E$26,2,FALSE),"")</f>
        <v>Divya Shah</v>
      </c>
      <c r="O169" s="1" t="str">
        <f>IFERROR(INDEX(Agents!$D$2:$D$26,MATCH(C169,Agents!$A$2:$A$26,0)),"")</f>
        <v>Voice Support</v>
      </c>
      <c r="P169" s="1" t="str">
        <f>IFERROR(VLOOKUP(C169,Agents!$A$2:$E$26,3,FALSE),"")</f>
        <v>Kritika Shah</v>
      </c>
      <c r="Q169" s="1" t="str">
        <f>IFERROR(VLOOKUP(C169,Agents!$A$2:$E$26,5,FALSE),"")</f>
        <v>Gurugram</v>
      </c>
      <c r="R169" s="1">
        <f>IFERROR(VLOOKUP(F169,#REF!,2,FALSE),0)</f>
        <v>0</v>
      </c>
      <c r="S169" s="1" t="str">
        <f t="shared" si="12"/>
        <v>Breached</v>
      </c>
      <c r="T169" s="1" t="str">
        <f t="shared" si="13"/>
        <v>Within Target</v>
      </c>
      <c r="U169" s="1" t="str">
        <f t="shared" si="14"/>
        <v>2025-11</v>
      </c>
      <c r="V169" s="1" t="str">
        <f t="shared" si="15"/>
        <v>Average</v>
      </c>
      <c r="W169" s="1" t="str">
        <f t="shared" si="16"/>
        <v>Pass</v>
      </c>
      <c r="X169" s="1" t="str">
        <f t="shared" si="17"/>
        <v>Unique</v>
      </c>
    </row>
    <row r="170" spans="1:24" ht="15" customHeight="1">
      <c r="A170" s="1" t="str">
        <f>'Raw Tickets'!$A$170</f>
        <v>T00169</v>
      </c>
      <c r="B170" s="4">
        <f>'Raw Tickets'!$B$170</f>
        <v>46010</v>
      </c>
      <c r="C170" s="1" t="str">
        <f>'Raw Tickets'!$C$170</f>
        <v>A017</v>
      </c>
      <c r="D170" s="1" t="str">
        <f>'Raw Tickets'!$D$170</f>
        <v>Chat</v>
      </c>
      <c r="E170" s="1" t="str">
        <f>'Raw Tickets'!$E$170</f>
        <v>Account Issue</v>
      </c>
      <c r="F170" s="1" t="str">
        <f>'Raw Tickets'!$F$170</f>
        <v>Medium</v>
      </c>
      <c r="G170" s="1">
        <f>'Raw Tickets'!$G$170</f>
        <v>23.3</v>
      </c>
      <c r="H170" s="1">
        <f>'Raw Tickets'!$H$170</f>
        <v>53</v>
      </c>
      <c r="I170" s="1">
        <f>'Raw Tickets'!$I$170</f>
        <v>3</v>
      </c>
      <c r="J170" s="6">
        <f>'Raw Tickets'!$J$170</f>
        <v>89.2</v>
      </c>
      <c r="K170" s="1" t="str">
        <f>'Raw Tickets'!$K$170</f>
        <v>Closed</v>
      </c>
      <c r="L170" s="1" t="str">
        <f>'Raw Tickets'!$L$170</f>
        <v>No</v>
      </c>
      <c r="M170" s="1" t="str">
        <f>'Raw Tickets'!$M$170</f>
        <v>No</v>
      </c>
      <c r="N170" s="1" t="str">
        <f>IFERROR(VLOOKUP(C170,Agents!$A$2:$E$26,2,FALSE),"")</f>
        <v>Varun Mehta</v>
      </c>
      <c r="O170" s="1" t="str">
        <f>IFERROR(INDEX(Agents!$D$2:$D$26,MATCH(C170,Agents!$A$2:$A$26,0)),"")</f>
        <v>Escalations</v>
      </c>
      <c r="P170" s="1" t="str">
        <f>IFERROR(VLOOKUP(C170,Agents!$A$2:$E$26,3,FALSE),"")</f>
        <v>Pallavi Rao</v>
      </c>
      <c r="Q170" s="1" t="str">
        <f>IFERROR(VLOOKUP(C170,Agents!$A$2:$E$26,5,FALSE),"")</f>
        <v>Gurugram</v>
      </c>
      <c r="R170" s="1">
        <f>IFERROR(VLOOKUP(F170,#REF!,2,FALSE),0)</f>
        <v>0</v>
      </c>
      <c r="S170" s="1" t="str">
        <f t="shared" si="12"/>
        <v>Breached</v>
      </c>
      <c r="T170" s="1" t="str">
        <f t="shared" si="13"/>
        <v>Late</v>
      </c>
      <c r="U170" s="1" t="str">
        <f t="shared" si="14"/>
        <v>2025-12</v>
      </c>
      <c r="V170" s="1" t="str">
        <f t="shared" si="15"/>
        <v>Average</v>
      </c>
      <c r="W170" s="1" t="str">
        <f t="shared" si="16"/>
        <v>Pass</v>
      </c>
      <c r="X170" s="1" t="str">
        <f t="shared" si="17"/>
        <v>Unique</v>
      </c>
    </row>
    <row r="171" spans="1:24" ht="15" customHeight="1">
      <c r="A171" s="1" t="str">
        <f>'Raw Tickets'!$A$171</f>
        <v>T00170</v>
      </c>
      <c r="B171" s="4">
        <f>'Raw Tickets'!$B$171</f>
        <v>45834</v>
      </c>
      <c r="C171" s="1" t="str">
        <f>'Raw Tickets'!$C$171</f>
        <v>A015</v>
      </c>
      <c r="D171" s="1" t="str">
        <f>'Raw Tickets'!$D$171</f>
        <v>Call</v>
      </c>
      <c r="E171" s="1" t="str">
        <f>'Raw Tickets'!$E$171</f>
        <v>Order Cancellation</v>
      </c>
      <c r="F171" s="1" t="str">
        <f>'Raw Tickets'!$F$171</f>
        <v>Low</v>
      </c>
      <c r="G171" s="1">
        <f>'Raw Tickets'!$G$171</f>
        <v>75.599999999999994</v>
      </c>
      <c r="H171" s="1">
        <f>'Raw Tickets'!$H$171</f>
        <v>23</v>
      </c>
      <c r="I171" s="1">
        <f>'Raw Tickets'!$I$171</f>
        <v>4</v>
      </c>
      <c r="J171" s="6">
        <f>'Raw Tickets'!$J$171</f>
        <v>89.7</v>
      </c>
      <c r="K171" s="1" t="str">
        <f>'Raw Tickets'!$K$171</f>
        <v>Closed</v>
      </c>
      <c r="L171" s="1" t="str">
        <f>'Raw Tickets'!$L$171</f>
        <v>No</v>
      </c>
      <c r="M171" s="1" t="str">
        <f>'Raw Tickets'!$M$171</f>
        <v>No</v>
      </c>
      <c r="N171" s="1" t="str">
        <f>IFERROR(VLOOKUP(C171,Agents!$A$2:$E$26,2,FALSE),"")</f>
        <v>Neha Jain</v>
      </c>
      <c r="O171" s="1" t="str">
        <f>IFERROR(INDEX(Agents!$D$2:$D$26,MATCH(C171,Agents!$A$2:$A$26,0)),"")</f>
        <v>Chat Support</v>
      </c>
      <c r="P171" s="1" t="str">
        <f>IFERROR(VLOOKUP(C171,Agents!$A$2:$E$26,3,FALSE),"")</f>
        <v>Nitin Gupta</v>
      </c>
      <c r="Q171" s="1" t="str">
        <f>IFERROR(VLOOKUP(C171,Agents!$A$2:$E$26,5,FALSE),"")</f>
        <v>Bengaluru</v>
      </c>
      <c r="R171" s="1">
        <f>IFERROR(VLOOKUP(F171,#REF!,2,FALSE),0)</f>
        <v>0</v>
      </c>
      <c r="S171" s="1" t="str">
        <f t="shared" si="12"/>
        <v>Breached</v>
      </c>
      <c r="T171" s="1" t="str">
        <f t="shared" si="13"/>
        <v>Within Target</v>
      </c>
      <c r="U171" s="1" t="str">
        <f t="shared" si="14"/>
        <v>2025-06</v>
      </c>
      <c r="V171" s="1" t="str">
        <f t="shared" si="15"/>
        <v>Good</v>
      </c>
      <c r="W171" s="1" t="str">
        <f t="shared" si="16"/>
        <v>Pass</v>
      </c>
      <c r="X171" s="1" t="str">
        <f t="shared" si="17"/>
        <v>Unique</v>
      </c>
    </row>
    <row r="172" spans="1:24" ht="15" customHeight="1">
      <c r="A172" s="1" t="str">
        <f>'Raw Tickets'!$A$172</f>
        <v>T00171</v>
      </c>
      <c r="B172" s="4">
        <f>'Raw Tickets'!$B$172</f>
        <v>45785</v>
      </c>
      <c r="C172" s="1" t="str">
        <f>'Raw Tickets'!$C$172</f>
        <v>A006</v>
      </c>
      <c r="D172" s="1" t="str">
        <f>'Raw Tickets'!$D$172</f>
        <v>Chat</v>
      </c>
      <c r="E172" s="1" t="str">
        <f>'Raw Tickets'!$E$172</f>
        <v>Refund</v>
      </c>
      <c r="F172" s="1" t="str">
        <f>'Raw Tickets'!$F$172</f>
        <v>Medium</v>
      </c>
      <c r="G172" s="1">
        <f>'Raw Tickets'!$G$172</f>
        <v>15.8</v>
      </c>
      <c r="H172" s="1">
        <f>'Raw Tickets'!$H$172</f>
        <v>48</v>
      </c>
      <c r="I172" s="1">
        <f>'Raw Tickets'!$I$172</f>
        <v>4</v>
      </c>
      <c r="J172" s="6">
        <f>'Raw Tickets'!$J$172</f>
        <v>80.5</v>
      </c>
      <c r="K172" s="1" t="str">
        <f>'Raw Tickets'!$K$172</f>
        <v>Closed</v>
      </c>
      <c r="L172" s="1" t="str">
        <f>'Raw Tickets'!$L$172</f>
        <v>No</v>
      </c>
      <c r="M172" s="1" t="str">
        <f>'Raw Tickets'!$M$172</f>
        <v>No</v>
      </c>
      <c r="N172" s="1" t="str">
        <f>IFERROR(VLOOKUP(C172,Agents!$A$2:$E$26,2,FALSE),"")</f>
        <v>Divya Shah</v>
      </c>
      <c r="O172" s="1" t="str">
        <f>IFERROR(INDEX(Agents!$D$2:$D$26,MATCH(C172,Agents!$A$2:$A$26,0)),"")</f>
        <v>Voice Support</v>
      </c>
      <c r="P172" s="1" t="str">
        <f>IFERROR(VLOOKUP(C172,Agents!$A$2:$E$26,3,FALSE),"")</f>
        <v>Kritika Shah</v>
      </c>
      <c r="Q172" s="1" t="str">
        <f>IFERROR(VLOOKUP(C172,Agents!$A$2:$E$26,5,FALSE),"")</f>
        <v>Gurugram</v>
      </c>
      <c r="R172" s="1">
        <f>IFERROR(VLOOKUP(F172,#REF!,2,FALSE),0)</f>
        <v>0</v>
      </c>
      <c r="S172" s="1" t="str">
        <f t="shared" si="12"/>
        <v>Breached</v>
      </c>
      <c r="T172" s="1" t="str">
        <f t="shared" si="13"/>
        <v>Late</v>
      </c>
      <c r="U172" s="1" t="str">
        <f t="shared" si="14"/>
        <v>2025-05</v>
      </c>
      <c r="V172" s="1" t="str">
        <f t="shared" si="15"/>
        <v>Good</v>
      </c>
      <c r="W172" s="1" t="str">
        <f t="shared" si="16"/>
        <v>Needs Coaching</v>
      </c>
      <c r="X172" s="1" t="str">
        <f t="shared" si="17"/>
        <v>Unique</v>
      </c>
    </row>
    <row r="173" spans="1:24" ht="15" customHeight="1">
      <c r="A173" s="1" t="str">
        <f>'Raw Tickets'!$A$173</f>
        <v>T00172</v>
      </c>
      <c r="B173" s="4">
        <f>'Raw Tickets'!$B$173</f>
        <v>45746</v>
      </c>
      <c r="C173" s="1" t="str">
        <f>'Raw Tickets'!$C$173</f>
        <v>A019</v>
      </c>
      <c r="D173" s="1" t="str">
        <f>'Raw Tickets'!$D$173</f>
        <v>Call</v>
      </c>
      <c r="E173" s="1" t="str">
        <f>'Raw Tickets'!$E$173</f>
        <v>Refund</v>
      </c>
      <c r="F173" s="1" t="str">
        <f>'Raw Tickets'!$F$173</f>
        <v>High</v>
      </c>
      <c r="G173" s="1">
        <f>'Raw Tickets'!$G$173</f>
        <v>5.6</v>
      </c>
      <c r="H173" s="1">
        <f>'Raw Tickets'!$H$173</f>
        <v>23</v>
      </c>
      <c r="I173" s="1">
        <f>'Raw Tickets'!$I$173</f>
        <v>4</v>
      </c>
      <c r="J173" s="6">
        <f>'Raw Tickets'!$J$173</f>
        <v>77.099999999999994</v>
      </c>
      <c r="K173" s="1" t="str">
        <f>'Raw Tickets'!$K$173</f>
        <v>Closed</v>
      </c>
      <c r="L173" s="1" t="str">
        <f>'Raw Tickets'!$L$173</f>
        <v>No</v>
      </c>
      <c r="M173" s="1" t="str">
        <f>'Raw Tickets'!$M$173</f>
        <v>Yes</v>
      </c>
      <c r="N173" s="1" t="str">
        <f>IFERROR(VLOOKUP(C173,Agents!$A$2:$E$26,2,FALSE),"")</f>
        <v>Sneha Joshi</v>
      </c>
      <c r="O173" s="1" t="str">
        <f>IFERROR(INDEX(Agents!$D$2:$D$26,MATCH(C173,Agents!$A$2:$A$26,0)),"")</f>
        <v>Escalations</v>
      </c>
      <c r="P173" s="1" t="str">
        <f>IFERROR(VLOOKUP(C173,Agents!$A$2:$E$26,3,FALSE),"")</f>
        <v>Pallavi Rao</v>
      </c>
      <c r="Q173" s="1" t="str">
        <f>IFERROR(VLOOKUP(C173,Agents!$A$2:$E$26,5,FALSE),"")</f>
        <v>Hyderabad</v>
      </c>
      <c r="R173" s="1">
        <f>IFERROR(VLOOKUP(F173,#REF!,2,FALSE),0)</f>
        <v>0</v>
      </c>
      <c r="S173" s="1" t="str">
        <f t="shared" si="12"/>
        <v>Breached</v>
      </c>
      <c r="T173" s="1" t="str">
        <f t="shared" si="13"/>
        <v>Within Target</v>
      </c>
      <c r="U173" s="1" t="str">
        <f t="shared" si="14"/>
        <v>2025-03</v>
      </c>
      <c r="V173" s="1" t="str">
        <f t="shared" si="15"/>
        <v>Good</v>
      </c>
      <c r="W173" s="1" t="str">
        <f t="shared" si="16"/>
        <v>Needs Coaching</v>
      </c>
      <c r="X173" s="1" t="str">
        <f t="shared" si="17"/>
        <v>Unique</v>
      </c>
    </row>
    <row r="174" spans="1:24" ht="15" customHeight="1">
      <c r="A174" s="1" t="str">
        <f>'Raw Tickets'!$A$174</f>
        <v>T00173</v>
      </c>
      <c r="B174" s="4">
        <f>'Raw Tickets'!$B$174</f>
        <v>45957</v>
      </c>
      <c r="C174" s="1" t="str">
        <f>'Raw Tickets'!$C$174</f>
        <v>A007</v>
      </c>
      <c r="D174" s="1" t="str">
        <f>'Raw Tickets'!$D$174</f>
        <v>Call</v>
      </c>
      <c r="E174" s="1" t="str">
        <f>'Raw Tickets'!$E$174</f>
        <v>Account Issue</v>
      </c>
      <c r="F174" s="1" t="str">
        <f>'Raw Tickets'!$F$174</f>
        <v>Medium</v>
      </c>
      <c r="G174" s="1">
        <f>'Raw Tickets'!$G$174</f>
        <v>44.4</v>
      </c>
      <c r="H174" s="1">
        <f>'Raw Tickets'!$H$174</f>
        <v>17</v>
      </c>
      <c r="I174" s="1">
        <f>'Raw Tickets'!$I$174</f>
        <v>5</v>
      </c>
      <c r="J174" s="6">
        <f>'Raw Tickets'!$J$174</f>
        <v>92.9</v>
      </c>
      <c r="K174" s="1" t="str">
        <f>'Raw Tickets'!$K$174</f>
        <v>Closed</v>
      </c>
      <c r="L174" s="1" t="str">
        <f>'Raw Tickets'!$L$174</f>
        <v>No</v>
      </c>
      <c r="M174" s="1" t="str">
        <f>'Raw Tickets'!$M$174</f>
        <v>No</v>
      </c>
      <c r="N174" s="1" t="str">
        <f>IFERROR(VLOOKUP(C174,Agents!$A$2:$E$26,2,FALSE),"")</f>
        <v>Kavya Patel</v>
      </c>
      <c r="O174" s="1" t="str">
        <f>IFERROR(INDEX(Agents!$D$2:$D$26,MATCH(C174,Agents!$A$2:$A$26,0)),"")</f>
        <v>Voice Support</v>
      </c>
      <c r="P174" s="1" t="str">
        <f>IFERROR(VLOOKUP(C174,Agents!$A$2:$E$26,3,FALSE),"")</f>
        <v>Kritika Shah</v>
      </c>
      <c r="Q174" s="1" t="str">
        <f>IFERROR(VLOOKUP(C174,Agents!$A$2:$E$26,5,FALSE),"")</f>
        <v>Noida</v>
      </c>
      <c r="R174" s="1">
        <f>IFERROR(VLOOKUP(F174,#REF!,2,FALSE),0)</f>
        <v>0</v>
      </c>
      <c r="S174" s="1" t="str">
        <f t="shared" si="12"/>
        <v>Breached</v>
      </c>
      <c r="T174" s="1" t="str">
        <f t="shared" si="13"/>
        <v>Within Target</v>
      </c>
      <c r="U174" s="1" t="str">
        <f t="shared" si="14"/>
        <v>2025-10</v>
      </c>
      <c r="V174" s="1" t="str">
        <f t="shared" si="15"/>
        <v>Good</v>
      </c>
      <c r="W174" s="1" t="str">
        <f t="shared" si="16"/>
        <v>Pass</v>
      </c>
      <c r="X174" s="1" t="str">
        <f t="shared" si="17"/>
        <v>Unique</v>
      </c>
    </row>
    <row r="175" spans="1:24" ht="15" customHeight="1">
      <c r="A175" s="1" t="str">
        <f>'Raw Tickets'!$A$175</f>
        <v>T00174</v>
      </c>
      <c r="B175" s="4">
        <f>'Raw Tickets'!$B$175</f>
        <v>45908</v>
      </c>
      <c r="C175" s="1" t="str">
        <f>'Raw Tickets'!$C$175</f>
        <v>A008</v>
      </c>
      <c r="D175" s="1" t="str">
        <f>'Raw Tickets'!$D$175</f>
        <v>Chat</v>
      </c>
      <c r="E175" s="1" t="str">
        <f>'Raw Tickets'!$E$175</f>
        <v>Refund</v>
      </c>
      <c r="F175" s="1" t="str">
        <f>'Raw Tickets'!$F$175</f>
        <v>Low</v>
      </c>
      <c r="G175" s="1">
        <f>'Raw Tickets'!$G$175</f>
        <v>32.799999999999997</v>
      </c>
      <c r="H175" s="1">
        <f>'Raw Tickets'!$H$175</f>
        <v>23</v>
      </c>
      <c r="I175" s="1">
        <f>'Raw Tickets'!$I$175</f>
        <v>3</v>
      </c>
      <c r="J175" s="6">
        <f>'Raw Tickets'!$J$175</f>
        <v>88</v>
      </c>
      <c r="K175" s="1" t="str">
        <f>'Raw Tickets'!$K$175</f>
        <v>Closed</v>
      </c>
      <c r="L175" s="1" t="str">
        <f>'Raw Tickets'!$L$175</f>
        <v>No</v>
      </c>
      <c r="M175" s="1" t="str">
        <f>'Raw Tickets'!$M$175</f>
        <v>No</v>
      </c>
      <c r="N175" s="1" t="str">
        <f>IFERROR(VLOOKUP(C175,Agents!$A$2:$E$26,2,FALSE),"")</f>
        <v>Ananya Mishra</v>
      </c>
      <c r="O175" s="1" t="str">
        <f>IFERROR(INDEX(Agents!$D$2:$D$26,MATCH(C175,Agents!$A$2:$A$26,0)),"")</f>
        <v>Voice Support</v>
      </c>
      <c r="P175" s="1" t="str">
        <f>IFERROR(VLOOKUP(C175,Agents!$A$2:$E$26,3,FALSE),"")</f>
        <v>Kritika Shah</v>
      </c>
      <c r="Q175" s="1" t="str">
        <f>IFERROR(VLOOKUP(C175,Agents!$A$2:$E$26,5,FALSE),"")</f>
        <v>Hyderabad</v>
      </c>
      <c r="R175" s="1">
        <f>IFERROR(VLOOKUP(F175,#REF!,2,FALSE),0)</f>
        <v>0</v>
      </c>
      <c r="S175" s="1" t="str">
        <f t="shared" si="12"/>
        <v>Breached</v>
      </c>
      <c r="T175" s="1" t="str">
        <f t="shared" si="13"/>
        <v>Within Target</v>
      </c>
      <c r="U175" s="1" t="str">
        <f t="shared" si="14"/>
        <v>2025-09</v>
      </c>
      <c r="V175" s="1" t="str">
        <f t="shared" si="15"/>
        <v>Average</v>
      </c>
      <c r="W175" s="1" t="str">
        <f t="shared" si="16"/>
        <v>Pass</v>
      </c>
      <c r="X175" s="1" t="str">
        <f t="shared" si="17"/>
        <v>Unique</v>
      </c>
    </row>
    <row r="176" spans="1:24" ht="15" customHeight="1">
      <c r="A176" s="1" t="str">
        <f>'Raw Tickets'!$A$176</f>
        <v>T00175</v>
      </c>
      <c r="B176" s="4">
        <f>'Raw Tickets'!$B$176</f>
        <v>45720</v>
      </c>
      <c r="C176" s="1" t="str">
        <f>'Raw Tickets'!$C$176</f>
        <v>A016</v>
      </c>
      <c r="D176" s="1" t="str">
        <f>'Raw Tickets'!$D$176</f>
        <v>Call</v>
      </c>
      <c r="E176" s="1" t="str">
        <f>'Raw Tickets'!$E$176</f>
        <v>Account Issue</v>
      </c>
      <c r="F176" s="1" t="str">
        <f>'Raw Tickets'!$F$176</f>
        <v>Low</v>
      </c>
      <c r="G176" s="1">
        <f>'Raw Tickets'!$G$176</f>
        <v>8.9</v>
      </c>
      <c r="H176" s="1">
        <f>'Raw Tickets'!$H$176</f>
        <v>29</v>
      </c>
      <c r="I176" s="1">
        <f>'Raw Tickets'!$I$176</f>
        <v>2</v>
      </c>
      <c r="J176" s="6">
        <f>'Raw Tickets'!$J$176</f>
        <v>96.4</v>
      </c>
      <c r="K176" s="1" t="str">
        <f>'Raw Tickets'!$K$176</f>
        <v>Closed</v>
      </c>
      <c r="L176" s="1" t="str">
        <f>'Raw Tickets'!$L$176</f>
        <v>No</v>
      </c>
      <c r="M176" s="1" t="str">
        <f>'Raw Tickets'!$M$176</f>
        <v>No</v>
      </c>
      <c r="N176" s="1" t="str">
        <f>IFERROR(VLOOKUP(C176,Agents!$A$2:$E$26,2,FALSE),"")</f>
        <v>Pooja Bansal</v>
      </c>
      <c r="O176" s="1" t="str">
        <f>IFERROR(INDEX(Agents!$D$2:$D$26,MATCH(C176,Agents!$A$2:$A$26,0)),"")</f>
        <v>Escalations</v>
      </c>
      <c r="P176" s="1" t="str">
        <f>IFERROR(VLOOKUP(C176,Agents!$A$2:$E$26,3,FALSE),"")</f>
        <v>Pallavi Rao</v>
      </c>
      <c r="Q176" s="1" t="str">
        <f>IFERROR(VLOOKUP(C176,Agents!$A$2:$E$26,5,FALSE),"")</f>
        <v>Hyderabad</v>
      </c>
      <c r="R176" s="1">
        <f>IFERROR(VLOOKUP(F176,#REF!,2,FALSE),0)</f>
        <v>0</v>
      </c>
      <c r="S176" s="1" t="str">
        <f t="shared" si="12"/>
        <v>Breached</v>
      </c>
      <c r="T176" s="1" t="str">
        <f t="shared" si="13"/>
        <v>Within Target</v>
      </c>
      <c r="U176" s="1" t="str">
        <f t="shared" si="14"/>
        <v>2025-03</v>
      </c>
      <c r="V176" s="1" t="str">
        <f t="shared" si="15"/>
        <v>Poor</v>
      </c>
      <c r="W176" s="1" t="str">
        <f t="shared" si="16"/>
        <v>Pass</v>
      </c>
      <c r="X176" s="1" t="str">
        <f t="shared" si="17"/>
        <v>Unique</v>
      </c>
    </row>
    <row r="177" spans="1:24" ht="15" customHeight="1">
      <c r="A177" s="1" t="str">
        <f>'Raw Tickets'!$A$177</f>
        <v>T00176</v>
      </c>
      <c r="B177" s="4">
        <f>'Raw Tickets'!$B$177</f>
        <v>45929</v>
      </c>
      <c r="C177" s="1" t="str">
        <f>'Raw Tickets'!$C$177</f>
        <v>A006</v>
      </c>
      <c r="D177" s="1" t="str">
        <f>'Raw Tickets'!$D$177</f>
        <v>Chat</v>
      </c>
      <c r="E177" s="1" t="str">
        <f>'Raw Tickets'!$E$177</f>
        <v>Delivery Delay</v>
      </c>
      <c r="F177" s="1" t="str">
        <f>'Raw Tickets'!$F$177</f>
        <v>Low</v>
      </c>
      <c r="G177" s="1">
        <f>'Raw Tickets'!$G$177</f>
        <v>23</v>
      </c>
      <c r="H177" s="1">
        <f>'Raw Tickets'!$H$177</f>
        <v>52</v>
      </c>
      <c r="I177" s="1">
        <f>'Raw Tickets'!$I$177</f>
        <v>5</v>
      </c>
      <c r="J177" s="6">
        <f>'Raw Tickets'!$J$177</f>
        <v>90.8</v>
      </c>
      <c r="K177" s="1" t="str">
        <f>'Raw Tickets'!$K$177</f>
        <v>Closed</v>
      </c>
      <c r="L177" s="1" t="str">
        <f>'Raw Tickets'!$L$177</f>
        <v>No</v>
      </c>
      <c r="M177" s="1" t="str">
        <f>'Raw Tickets'!$M$177</f>
        <v>No</v>
      </c>
      <c r="N177" s="1" t="str">
        <f>IFERROR(VLOOKUP(C177,Agents!$A$2:$E$26,2,FALSE),"")</f>
        <v>Divya Shah</v>
      </c>
      <c r="O177" s="1" t="str">
        <f>IFERROR(INDEX(Agents!$D$2:$D$26,MATCH(C177,Agents!$A$2:$A$26,0)),"")</f>
        <v>Voice Support</v>
      </c>
      <c r="P177" s="1" t="str">
        <f>IFERROR(VLOOKUP(C177,Agents!$A$2:$E$26,3,FALSE),"")</f>
        <v>Kritika Shah</v>
      </c>
      <c r="Q177" s="1" t="str">
        <f>IFERROR(VLOOKUP(C177,Agents!$A$2:$E$26,5,FALSE),"")</f>
        <v>Gurugram</v>
      </c>
      <c r="R177" s="1">
        <f>IFERROR(VLOOKUP(F177,#REF!,2,FALSE),0)</f>
        <v>0</v>
      </c>
      <c r="S177" s="1" t="str">
        <f t="shared" si="12"/>
        <v>Breached</v>
      </c>
      <c r="T177" s="1" t="str">
        <f t="shared" si="13"/>
        <v>Late</v>
      </c>
      <c r="U177" s="1" t="str">
        <f t="shared" si="14"/>
        <v>2025-09</v>
      </c>
      <c r="V177" s="1" t="str">
        <f t="shared" si="15"/>
        <v>Good</v>
      </c>
      <c r="W177" s="1" t="str">
        <f t="shared" si="16"/>
        <v>Pass</v>
      </c>
      <c r="X177" s="1" t="str">
        <f t="shared" si="17"/>
        <v>Unique</v>
      </c>
    </row>
    <row r="178" spans="1:24" ht="15" customHeight="1">
      <c r="A178" s="1" t="str">
        <f>'Raw Tickets'!$A$178</f>
        <v>T00177</v>
      </c>
      <c r="B178" s="4">
        <f>'Raw Tickets'!$B$178</f>
        <v>45947</v>
      </c>
      <c r="C178" s="1" t="str">
        <f>'Raw Tickets'!$C$178</f>
        <v>A005</v>
      </c>
      <c r="D178" s="1" t="str">
        <f>'Raw Tickets'!$D$178</f>
        <v>Email</v>
      </c>
      <c r="E178" s="1" t="str">
        <f>'Raw Tickets'!$E$178</f>
        <v>Product Quality</v>
      </c>
      <c r="F178" s="1" t="str">
        <f>'Raw Tickets'!$F$178</f>
        <v>Low</v>
      </c>
      <c r="G178" s="1">
        <f>'Raw Tickets'!$G$178</f>
        <v>28.3</v>
      </c>
      <c r="H178" s="1">
        <f>'Raw Tickets'!$H$178</f>
        <v>41</v>
      </c>
      <c r="I178" s="1">
        <f>'Raw Tickets'!$I$178</f>
        <v>4</v>
      </c>
      <c r="J178" s="6">
        <f>'Raw Tickets'!$J$178</f>
        <v>96</v>
      </c>
      <c r="K178" s="1" t="str">
        <f>'Raw Tickets'!$K$178</f>
        <v>Closed</v>
      </c>
      <c r="L178" s="1" t="str">
        <f>'Raw Tickets'!$L$178</f>
        <v>No</v>
      </c>
      <c r="M178" s="1" t="str">
        <f>'Raw Tickets'!$M$178</f>
        <v>No</v>
      </c>
      <c r="N178" s="1" t="str">
        <f>IFERROR(VLOOKUP(C178,Agents!$A$2:$E$26,2,FALSE),"")</f>
        <v>Aditi Verma</v>
      </c>
      <c r="O178" s="1" t="str">
        <f>IFERROR(INDEX(Agents!$D$2:$D$26,MATCH(C178,Agents!$A$2:$A$26,0)),"")</f>
        <v>Email Support</v>
      </c>
      <c r="P178" s="1" t="str">
        <f>IFERROR(VLOOKUP(C178,Agents!$A$2:$E$26,3,FALSE),"")</f>
        <v>Aman Verma</v>
      </c>
      <c r="Q178" s="1" t="str">
        <f>IFERROR(VLOOKUP(C178,Agents!$A$2:$E$26,5,FALSE),"")</f>
        <v>Gurugram</v>
      </c>
      <c r="R178" s="1">
        <f>IFERROR(VLOOKUP(F178,#REF!,2,FALSE),0)</f>
        <v>0</v>
      </c>
      <c r="S178" s="1" t="str">
        <f t="shared" si="12"/>
        <v>Breached</v>
      </c>
      <c r="T178" s="1" t="str">
        <f t="shared" si="13"/>
        <v>Late</v>
      </c>
      <c r="U178" s="1" t="str">
        <f t="shared" si="14"/>
        <v>2025-10</v>
      </c>
      <c r="V178" s="1" t="str">
        <f t="shared" si="15"/>
        <v>Good</v>
      </c>
      <c r="W178" s="1" t="str">
        <f t="shared" si="16"/>
        <v>Pass</v>
      </c>
      <c r="X178" s="1" t="str">
        <f t="shared" si="17"/>
        <v>Unique</v>
      </c>
    </row>
    <row r="179" spans="1:24" ht="15" customHeight="1">
      <c r="A179" s="1" t="str">
        <f>'Raw Tickets'!$A$179</f>
        <v>T00178</v>
      </c>
      <c r="B179" s="4">
        <f>'Raw Tickets'!$B$179</f>
        <v>45766</v>
      </c>
      <c r="C179" s="1" t="str">
        <f>'Raw Tickets'!$C$179</f>
        <v>A009</v>
      </c>
      <c r="D179" s="1" t="str">
        <f>'Raw Tickets'!$D$179</f>
        <v>Email</v>
      </c>
      <c r="E179" s="1" t="str">
        <f>'Raw Tickets'!$E$179</f>
        <v>Delivery Delay</v>
      </c>
      <c r="F179" s="1" t="str">
        <f>'Raw Tickets'!$F$179</f>
        <v>Low</v>
      </c>
      <c r="G179" s="1">
        <f>'Raw Tickets'!$G$179</f>
        <v>98</v>
      </c>
      <c r="H179" s="1">
        <f>'Raw Tickets'!$H$179</f>
        <v>52</v>
      </c>
      <c r="I179" s="1">
        <f>'Raw Tickets'!$I$179</f>
        <v>5</v>
      </c>
      <c r="J179" s="6">
        <f>'Raw Tickets'!$J$179</f>
        <v>82.6</v>
      </c>
      <c r="K179" s="1" t="str">
        <f>'Raw Tickets'!$K$179</f>
        <v>Closed</v>
      </c>
      <c r="L179" s="1" t="str">
        <f>'Raw Tickets'!$L$179</f>
        <v>No</v>
      </c>
      <c r="M179" s="1" t="str">
        <f>'Raw Tickets'!$M$179</f>
        <v>No</v>
      </c>
      <c r="N179" s="1" t="str">
        <f>IFERROR(VLOOKUP(C179,Agents!$A$2:$E$26,2,FALSE),"")</f>
        <v>Divya Mehta</v>
      </c>
      <c r="O179" s="1" t="str">
        <f>IFERROR(INDEX(Agents!$D$2:$D$26,MATCH(C179,Agents!$A$2:$A$26,0)),"")</f>
        <v>Voice Support</v>
      </c>
      <c r="P179" s="1" t="str">
        <f>IFERROR(VLOOKUP(C179,Agents!$A$2:$E$26,3,FALSE),"")</f>
        <v>Kritika Shah</v>
      </c>
      <c r="Q179" s="1" t="str">
        <f>IFERROR(VLOOKUP(C179,Agents!$A$2:$E$26,5,FALSE),"")</f>
        <v>Gurugram</v>
      </c>
      <c r="R179" s="1">
        <f>IFERROR(VLOOKUP(F179,#REF!,2,FALSE),0)</f>
        <v>0</v>
      </c>
      <c r="S179" s="1" t="str">
        <f t="shared" si="12"/>
        <v>Breached</v>
      </c>
      <c r="T179" s="1" t="str">
        <f t="shared" si="13"/>
        <v>Late</v>
      </c>
      <c r="U179" s="1" t="str">
        <f t="shared" si="14"/>
        <v>2025-04</v>
      </c>
      <c r="V179" s="1" t="str">
        <f t="shared" si="15"/>
        <v>Good</v>
      </c>
      <c r="W179" s="1" t="str">
        <f t="shared" si="16"/>
        <v>Needs Coaching</v>
      </c>
      <c r="X179" s="1" t="str">
        <f t="shared" si="17"/>
        <v>Unique</v>
      </c>
    </row>
    <row r="180" spans="1:24" ht="15" customHeight="1">
      <c r="A180" s="1" t="str">
        <f>'Raw Tickets'!$A$180</f>
        <v>T00179</v>
      </c>
      <c r="B180" s="4">
        <f>'Raw Tickets'!$B$180</f>
        <v>45844</v>
      </c>
      <c r="C180" s="1" t="str">
        <f>'Raw Tickets'!$C$180</f>
        <v>A005</v>
      </c>
      <c r="D180" s="1" t="str">
        <f>'Raw Tickets'!$D$180</f>
        <v>Chat</v>
      </c>
      <c r="E180" s="1" t="str">
        <f>'Raw Tickets'!$E$180</f>
        <v>Refund</v>
      </c>
      <c r="F180" s="1" t="str">
        <f>'Raw Tickets'!$F$180</f>
        <v>Medium</v>
      </c>
      <c r="G180" s="1">
        <f>'Raw Tickets'!$G$180</f>
        <v>0.6</v>
      </c>
      <c r="H180" s="1">
        <f>'Raw Tickets'!$H$180</f>
        <v>10</v>
      </c>
      <c r="I180" s="1">
        <f>'Raw Tickets'!$I$180</f>
        <v>3</v>
      </c>
      <c r="J180" s="6">
        <f>'Raw Tickets'!$J$180</f>
        <v>92.6</v>
      </c>
      <c r="K180" s="1" t="str">
        <f>'Raw Tickets'!$K$180</f>
        <v>Closed</v>
      </c>
      <c r="L180" s="1" t="str">
        <f>'Raw Tickets'!$L$180</f>
        <v>No</v>
      </c>
      <c r="M180" s="1" t="str">
        <f>'Raw Tickets'!$M$180</f>
        <v>No</v>
      </c>
      <c r="N180" s="1" t="str">
        <f>IFERROR(VLOOKUP(C180,Agents!$A$2:$E$26,2,FALSE),"")</f>
        <v>Aditi Verma</v>
      </c>
      <c r="O180" s="1" t="str">
        <f>IFERROR(INDEX(Agents!$D$2:$D$26,MATCH(C180,Agents!$A$2:$A$26,0)),"")</f>
        <v>Email Support</v>
      </c>
      <c r="P180" s="1" t="str">
        <f>IFERROR(VLOOKUP(C180,Agents!$A$2:$E$26,3,FALSE),"")</f>
        <v>Aman Verma</v>
      </c>
      <c r="Q180" s="1" t="str">
        <f>IFERROR(VLOOKUP(C180,Agents!$A$2:$E$26,5,FALSE),"")</f>
        <v>Gurugram</v>
      </c>
      <c r="R180" s="1">
        <f>IFERROR(VLOOKUP(F180,#REF!,2,FALSE),0)</f>
        <v>0</v>
      </c>
      <c r="S180" s="1" t="str">
        <f t="shared" si="12"/>
        <v>Breached</v>
      </c>
      <c r="T180" s="1" t="str">
        <f t="shared" si="13"/>
        <v>Within Target</v>
      </c>
      <c r="U180" s="1" t="str">
        <f t="shared" si="14"/>
        <v>2025-07</v>
      </c>
      <c r="V180" s="1" t="str">
        <f t="shared" si="15"/>
        <v>Average</v>
      </c>
      <c r="W180" s="1" t="str">
        <f t="shared" si="16"/>
        <v>Pass</v>
      </c>
      <c r="X180" s="1" t="str">
        <f t="shared" si="17"/>
        <v>Unique</v>
      </c>
    </row>
    <row r="181" spans="1:24" ht="15" customHeight="1">
      <c r="A181" s="1" t="str">
        <f>'Raw Tickets'!$A$181</f>
        <v>T00180</v>
      </c>
      <c r="B181" s="4">
        <f>'Raw Tickets'!$B$181</f>
        <v>45735</v>
      </c>
      <c r="C181" s="1" t="str">
        <f>'Raw Tickets'!$C$181</f>
        <v>A010</v>
      </c>
      <c r="D181" s="1" t="str">
        <f>'Raw Tickets'!$D$181</f>
        <v>Chat</v>
      </c>
      <c r="E181" s="1" t="str">
        <f>'Raw Tickets'!$E$181</f>
        <v>Delivery Delay</v>
      </c>
      <c r="F181" s="1" t="str">
        <f>'Raw Tickets'!$F$181</f>
        <v>Low</v>
      </c>
      <c r="G181" s="1">
        <f>'Raw Tickets'!$G$181</f>
        <v>15.2</v>
      </c>
      <c r="H181" s="1">
        <f>'Raw Tickets'!$H$181</f>
        <v>32</v>
      </c>
      <c r="I181" s="1">
        <f>'Raw Tickets'!$I$181</f>
        <v>5</v>
      </c>
      <c r="J181" s="6">
        <f>'Raw Tickets'!$J$181</f>
        <v>92.2</v>
      </c>
      <c r="K181" s="1" t="str">
        <f>'Raw Tickets'!$K$181</f>
        <v>Closed</v>
      </c>
      <c r="L181" s="1" t="str">
        <f>'Raw Tickets'!$L$181</f>
        <v>No</v>
      </c>
      <c r="M181" s="1" t="str">
        <f>'Raw Tickets'!$M$181</f>
        <v>Yes</v>
      </c>
      <c r="N181" s="1" t="str">
        <f>IFERROR(VLOOKUP(C181,Agents!$A$2:$E$26,2,FALSE),"")</f>
        <v>Ananya Gupta</v>
      </c>
      <c r="O181" s="1" t="str">
        <f>IFERROR(INDEX(Agents!$D$2:$D$26,MATCH(C181,Agents!$A$2:$A$26,0)),"")</f>
        <v>Voice Support</v>
      </c>
      <c r="P181" s="1" t="str">
        <f>IFERROR(VLOOKUP(C181,Agents!$A$2:$E$26,3,FALSE),"")</f>
        <v>Kritika Shah</v>
      </c>
      <c r="Q181" s="1" t="str">
        <f>IFERROR(VLOOKUP(C181,Agents!$A$2:$E$26,5,FALSE),"")</f>
        <v>Gurugram</v>
      </c>
      <c r="R181" s="1">
        <f>IFERROR(VLOOKUP(F181,#REF!,2,FALSE),0)</f>
        <v>0</v>
      </c>
      <c r="S181" s="1" t="str">
        <f t="shared" si="12"/>
        <v>Breached</v>
      </c>
      <c r="T181" s="1" t="str">
        <f t="shared" si="13"/>
        <v>Late</v>
      </c>
      <c r="U181" s="1" t="str">
        <f t="shared" si="14"/>
        <v>2025-03</v>
      </c>
      <c r="V181" s="1" t="str">
        <f t="shared" si="15"/>
        <v>Good</v>
      </c>
      <c r="W181" s="1" t="str">
        <f t="shared" si="16"/>
        <v>Pass</v>
      </c>
      <c r="X181" s="1" t="str">
        <f t="shared" si="17"/>
        <v>Unique</v>
      </c>
    </row>
    <row r="182" spans="1:24" ht="15" customHeight="1">
      <c r="A182" s="1" t="str">
        <f>'Raw Tickets'!$A$182</f>
        <v>T00181</v>
      </c>
      <c r="B182" s="4">
        <f>'Raw Tickets'!$B$182</f>
        <v>45839</v>
      </c>
      <c r="C182" s="1" t="str">
        <f>'Raw Tickets'!$C$182</f>
        <v>A007</v>
      </c>
      <c r="D182" s="1" t="str">
        <f>'Raw Tickets'!$D$182</f>
        <v>Call</v>
      </c>
      <c r="E182" s="1" t="str">
        <f>'Raw Tickets'!$E$182</f>
        <v>Order Cancellation</v>
      </c>
      <c r="F182" s="1" t="str">
        <f>'Raw Tickets'!$F$182</f>
        <v>Low</v>
      </c>
      <c r="G182" s="1">
        <f>'Raw Tickets'!$G$182</f>
        <v>75.3</v>
      </c>
      <c r="H182" s="1">
        <f>'Raw Tickets'!$H$182</f>
        <v>78</v>
      </c>
      <c r="I182" s="1">
        <f>'Raw Tickets'!$I$182</f>
        <v>4</v>
      </c>
      <c r="J182" s="6">
        <f>'Raw Tickets'!$J$182</f>
        <v>84.8</v>
      </c>
      <c r="K182" s="1" t="str">
        <f>'Raw Tickets'!$K$182</f>
        <v>Closed</v>
      </c>
      <c r="L182" s="1" t="str">
        <f>'Raw Tickets'!$L$182</f>
        <v>No</v>
      </c>
      <c r="M182" s="1" t="str">
        <f>'Raw Tickets'!$M$182</f>
        <v>No</v>
      </c>
      <c r="N182" s="1" t="str">
        <f>IFERROR(VLOOKUP(C182,Agents!$A$2:$E$26,2,FALSE),"")</f>
        <v>Kavya Patel</v>
      </c>
      <c r="O182" s="1" t="str">
        <f>IFERROR(INDEX(Agents!$D$2:$D$26,MATCH(C182,Agents!$A$2:$A$26,0)),"")</f>
        <v>Voice Support</v>
      </c>
      <c r="P182" s="1" t="str">
        <f>IFERROR(VLOOKUP(C182,Agents!$A$2:$E$26,3,FALSE),"")</f>
        <v>Kritika Shah</v>
      </c>
      <c r="Q182" s="1" t="str">
        <f>IFERROR(VLOOKUP(C182,Agents!$A$2:$E$26,5,FALSE),"")</f>
        <v>Noida</v>
      </c>
      <c r="R182" s="1">
        <f>IFERROR(VLOOKUP(F182,#REF!,2,FALSE),0)</f>
        <v>0</v>
      </c>
      <c r="S182" s="1" t="str">
        <f t="shared" si="12"/>
        <v>Breached</v>
      </c>
      <c r="T182" s="1" t="str">
        <f t="shared" si="13"/>
        <v>Late</v>
      </c>
      <c r="U182" s="1" t="str">
        <f t="shared" si="14"/>
        <v>2025-07</v>
      </c>
      <c r="V182" s="1" t="str">
        <f t="shared" si="15"/>
        <v>Good</v>
      </c>
      <c r="W182" s="1" t="str">
        <f t="shared" si="16"/>
        <v>Needs Coaching</v>
      </c>
      <c r="X182" s="1" t="str">
        <f t="shared" si="17"/>
        <v>Unique</v>
      </c>
    </row>
    <row r="183" spans="1:24" ht="15" customHeight="1">
      <c r="A183" s="1" t="str">
        <f>'Raw Tickets'!$A$183</f>
        <v>T00182</v>
      </c>
      <c r="B183" s="4">
        <f>'Raw Tickets'!$B$183</f>
        <v>45860</v>
      </c>
      <c r="C183" s="1" t="str">
        <f>'Raw Tickets'!$C$183</f>
        <v>A025</v>
      </c>
      <c r="D183" s="1" t="str">
        <f>'Raw Tickets'!$D$183</f>
        <v>Call</v>
      </c>
      <c r="E183" s="1" t="str">
        <f>'Raw Tickets'!$E$183</f>
        <v>Refund</v>
      </c>
      <c r="F183" s="1" t="str">
        <f>'Raw Tickets'!$F$183</f>
        <v>High</v>
      </c>
      <c r="G183" s="1">
        <f>'Raw Tickets'!$G$183</f>
        <v>10.4</v>
      </c>
      <c r="H183" s="1">
        <f>'Raw Tickets'!$H$183</f>
        <v>17</v>
      </c>
      <c r="I183" s="1">
        <f>'Raw Tickets'!$I$183</f>
        <v>5</v>
      </c>
      <c r="J183" s="6">
        <f>'Raw Tickets'!$J$183</f>
        <v>83.8</v>
      </c>
      <c r="K183" s="1" t="str">
        <f>'Raw Tickets'!$K$183</f>
        <v>Closed</v>
      </c>
      <c r="L183" s="1" t="str">
        <f>'Raw Tickets'!$L$183</f>
        <v>No</v>
      </c>
      <c r="M183" s="1" t="str">
        <f>'Raw Tickets'!$M$183</f>
        <v>No</v>
      </c>
      <c r="N183" s="1" t="str">
        <f>IFERROR(VLOOKUP(C183,Agents!$A$2:$E$26,2,FALSE),"")</f>
        <v>Arjun Nair</v>
      </c>
      <c r="O183" s="1" t="str">
        <f>IFERROR(INDEX(Agents!$D$2:$D$26,MATCH(C183,Agents!$A$2:$A$26,0)),"")</f>
        <v>Seller Support</v>
      </c>
      <c r="P183" s="1" t="str">
        <f>IFERROR(VLOOKUP(C183,Agents!$A$2:$E$26,3,FALSE),"")</f>
        <v>Vivek Jain</v>
      </c>
      <c r="Q183" s="1" t="str">
        <f>IFERROR(VLOOKUP(C183,Agents!$A$2:$E$26,5,FALSE),"")</f>
        <v>Noida</v>
      </c>
      <c r="R183" s="1">
        <f>IFERROR(VLOOKUP(F183,#REF!,2,FALSE),0)</f>
        <v>0</v>
      </c>
      <c r="S183" s="1" t="str">
        <f t="shared" si="12"/>
        <v>Breached</v>
      </c>
      <c r="T183" s="1" t="str">
        <f t="shared" si="13"/>
        <v>Within Target</v>
      </c>
      <c r="U183" s="1" t="str">
        <f t="shared" si="14"/>
        <v>2025-07</v>
      </c>
      <c r="V183" s="1" t="str">
        <f t="shared" si="15"/>
        <v>Good</v>
      </c>
      <c r="W183" s="1" t="str">
        <f t="shared" si="16"/>
        <v>Needs Coaching</v>
      </c>
      <c r="X183" s="1" t="str">
        <f t="shared" si="17"/>
        <v>Unique</v>
      </c>
    </row>
    <row r="184" spans="1:24" ht="15" customHeight="1">
      <c r="A184" s="1" t="str">
        <f>'Raw Tickets'!$A$184</f>
        <v>T00183</v>
      </c>
      <c r="B184" s="4">
        <f>'Raw Tickets'!$B$184</f>
        <v>45913</v>
      </c>
      <c r="C184" s="1" t="str">
        <f>'Raw Tickets'!$C$184</f>
        <v>A013</v>
      </c>
      <c r="D184" s="1" t="str">
        <f>'Raw Tickets'!$D$184</f>
        <v>Call</v>
      </c>
      <c r="E184" s="1" t="str">
        <f>'Raw Tickets'!$E$184</f>
        <v>Order Cancellation</v>
      </c>
      <c r="F184" s="1" t="str">
        <f>'Raw Tickets'!$F$184</f>
        <v>Critical</v>
      </c>
      <c r="G184" s="1">
        <f>'Raw Tickets'!$G$184</f>
        <v>0.5</v>
      </c>
      <c r="H184" s="1">
        <f>'Raw Tickets'!$H$184</f>
        <v>13</v>
      </c>
      <c r="I184" s="1">
        <f>'Raw Tickets'!$I$184</f>
        <v>3</v>
      </c>
      <c r="J184" s="6">
        <f>'Raw Tickets'!$J$184</f>
        <v>72.5</v>
      </c>
      <c r="K184" s="1" t="str">
        <f>'Raw Tickets'!$K$184</f>
        <v>Closed</v>
      </c>
      <c r="L184" s="1" t="str">
        <f>'Raw Tickets'!$L$184</f>
        <v>No</v>
      </c>
      <c r="M184" s="1" t="str">
        <f>'Raw Tickets'!$M$184</f>
        <v>No</v>
      </c>
      <c r="N184" s="1" t="str">
        <f>IFERROR(VLOOKUP(C184,Agents!$A$2:$E$26,2,FALSE),"")</f>
        <v>Ananya Jain</v>
      </c>
      <c r="O184" s="1" t="str">
        <f>IFERROR(INDEX(Agents!$D$2:$D$26,MATCH(C184,Agents!$A$2:$A$26,0)),"")</f>
        <v>Chat Support</v>
      </c>
      <c r="P184" s="1" t="str">
        <f>IFERROR(VLOOKUP(C184,Agents!$A$2:$E$26,3,FALSE),"")</f>
        <v>Nitin Gupta</v>
      </c>
      <c r="Q184" s="1" t="str">
        <f>IFERROR(VLOOKUP(C184,Agents!$A$2:$E$26,5,FALSE),"")</f>
        <v>Hyderabad</v>
      </c>
      <c r="R184" s="1">
        <f>IFERROR(VLOOKUP(F184,#REF!,2,FALSE),0)</f>
        <v>0</v>
      </c>
      <c r="S184" s="1" t="str">
        <f t="shared" si="12"/>
        <v>Breached</v>
      </c>
      <c r="T184" s="1" t="str">
        <f t="shared" si="13"/>
        <v>Within Target</v>
      </c>
      <c r="U184" s="1" t="str">
        <f t="shared" si="14"/>
        <v>2025-09</v>
      </c>
      <c r="V184" s="1" t="str">
        <f t="shared" si="15"/>
        <v>Average</v>
      </c>
      <c r="W184" s="1" t="str">
        <f t="shared" si="16"/>
        <v>Needs Coaching</v>
      </c>
      <c r="X184" s="1" t="str">
        <f t="shared" si="17"/>
        <v>Unique</v>
      </c>
    </row>
    <row r="185" spans="1:24" ht="15" customHeight="1">
      <c r="A185" s="1" t="str">
        <f>'Raw Tickets'!$A$185</f>
        <v>T00184</v>
      </c>
      <c r="B185" s="4">
        <f>'Raw Tickets'!$B$185</f>
        <v>45909</v>
      </c>
      <c r="C185" s="1" t="str">
        <f>'Raw Tickets'!$C$185</f>
        <v>A016</v>
      </c>
      <c r="D185" s="1" t="str">
        <f>'Raw Tickets'!$D$185</f>
        <v>Chat</v>
      </c>
      <c r="E185" s="1" t="str">
        <f>'Raw Tickets'!$E$185</f>
        <v>Delivery Delay</v>
      </c>
      <c r="F185" s="1" t="str">
        <f>'Raw Tickets'!$F$185</f>
        <v>Critical</v>
      </c>
      <c r="G185" s="1">
        <f>'Raw Tickets'!$G$185</f>
        <v>3.8</v>
      </c>
      <c r="H185" s="1">
        <f>'Raw Tickets'!$H$185</f>
        <v>37</v>
      </c>
      <c r="I185" s="1">
        <f>'Raw Tickets'!$I$185</f>
        <v>4</v>
      </c>
      <c r="J185" s="6">
        <f>'Raw Tickets'!$J$185</f>
        <v>91.6</v>
      </c>
      <c r="K185" s="1" t="str">
        <f>'Raw Tickets'!$K$185</f>
        <v>Closed</v>
      </c>
      <c r="L185" s="1" t="str">
        <f>'Raw Tickets'!$L$185</f>
        <v>No</v>
      </c>
      <c r="M185" s="1" t="str">
        <f>'Raw Tickets'!$M$185</f>
        <v>No</v>
      </c>
      <c r="N185" s="1" t="str">
        <f>IFERROR(VLOOKUP(C185,Agents!$A$2:$E$26,2,FALSE),"")</f>
        <v>Pooja Bansal</v>
      </c>
      <c r="O185" s="1" t="str">
        <f>IFERROR(INDEX(Agents!$D$2:$D$26,MATCH(C185,Agents!$A$2:$A$26,0)),"")</f>
        <v>Escalations</v>
      </c>
      <c r="P185" s="1" t="str">
        <f>IFERROR(VLOOKUP(C185,Agents!$A$2:$E$26,3,FALSE),"")</f>
        <v>Pallavi Rao</v>
      </c>
      <c r="Q185" s="1" t="str">
        <f>IFERROR(VLOOKUP(C185,Agents!$A$2:$E$26,5,FALSE),"")</f>
        <v>Hyderabad</v>
      </c>
      <c r="R185" s="1">
        <f>IFERROR(VLOOKUP(F185,#REF!,2,FALSE),0)</f>
        <v>0</v>
      </c>
      <c r="S185" s="1" t="str">
        <f t="shared" si="12"/>
        <v>Breached</v>
      </c>
      <c r="T185" s="1" t="str">
        <f t="shared" si="13"/>
        <v>Late</v>
      </c>
      <c r="U185" s="1" t="str">
        <f t="shared" si="14"/>
        <v>2025-09</v>
      </c>
      <c r="V185" s="1" t="str">
        <f t="shared" si="15"/>
        <v>Good</v>
      </c>
      <c r="W185" s="1" t="str">
        <f t="shared" si="16"/>
        <v>Pass</v>
      </c>
      <c r="X185" s="1" t="str">
        <f t="shared" si="17"/>
        <v>Unique</v>
      </c>
    </row>
    <row r="186" spans="1:24" ht="15" customHeight="1">
      <c r="A186" s="1" t="str">
        <f>'Raw Tickets'!$A$186</f>
        <v>T00185</v>
      </c>
      <c r="B186" s="4">
        <f>'Raw Tickets'!$B$186</f>
        <v>45974</v>
      </c>
      <c r="C186" s="1" t="str">
        <f>'Raw Tickets'!$C$186</f>
        <v>A011</v>
      </c>
      <c r="D186" s="1" t="str">
        <f>'Raw Tickets'!$D$186</f>
        <v>Email</v>
      </c>
      <c r="E186" s="1" t="str">
        <f>'Raw Tickets'!$E$186</f>
        <v>Refund</v>
      </c>
      <c r="F186" s="1" t="str">
        <f>'Raw Tickets'!$F$186</f>
        <v>Medium</v>
      </c>
      <c r="G186" s="1">
        <f>'Raw Tickets'!$G$186</f>
        <v>38.5</v>
      </c>
      <c r="H186" s="1">
        <f>'Raw Tickets'!$H$186</f>
        <v>30</v>
      </c>
      <c r="I186" s="1">
        <f>'Raw Tickets'!$I$186</f>
        <v>2</v>
      </c>
      <c r="J186" s="6">
        <f>'Raw Tickets'!$J$186</f>
        <v>94.8</v>
      </c>
      <c r="K186" s="1" t="str">
        <f>'Raw Tickets'!$K$186</f>
        <v>Open</v>
      </c>
      <c r="L186" s="1" t="str">
        <f>'Raw Tickets'!$L$186</f>
        <v>No</v>
      </c>
      <c r="M186" s="1" t="str">
        <f>'Raw Tickets'!$M$186</f>
        <v>No</v>
      </c>
      <c r="N186" s="1" t="str">
        <f>IFERROR(VLOOKUP(C186,Agents!$A$2:$E$26,2,FALSE),"")</f>
        <v>Shreya Singh</v>
      </c>
      <c r="O186" s="1" t="str">
        <f>IFERROR(INDEX(Agents!$D$2:$D$26,MATCH(C186,Agents!$A$2:$A$26,0)),"")</f>
        <v>Chat Support</v>
      </c>
      <c r="P186" s="1" t="str">
        <f>IFERROR(VLOOKUP(C186,Agents!$A$2:$E$26,3,FALSE),"")</f>
        <v>Nitin Gupta</v>
      </c>
      <c r="Q186" s="1" t="str">
        <f>IFERROR(VLOOKUP(C186,Agents!$A$2:$E$26,5,FALSE),"")</f>
        <v>Noida</v>
      </c>
      <c r="R186" s="1">
        <f>IFERROR(VLOOKUP(F186,#REF!,2,FALSE),0)</f>
        <v>0</v>
      </c>
      <c r="S186" s="1" t="str">
        <f t="shared" si="12"/>
        <v>Breached</v>
      </c>
      <c r="T186" s="1" t="str">
        <f t="shared" si="13"/>
        <v>Within Target</v>
      </c>
      <c r="U186" s="1" t="str">
        <f t="shared" si="14"/>
        <v>2025-11</v>
      </c>
      <c r="V186" s="1" t="str">
        <f t="shared" si="15"/>
        <v>Poor</v>
      </c>
      <c r="W186" s="1" t="str">
        <f t="shared" si="16"/>
        <v>Pass</v>
      </c>
      <c r="X186" s="1" t="str">
        <f t="shared" si="17"/>
        <v>Unique</v>
      </c>
    </row>
    <row r="187" spans="1:24" ht="15" customHeight="1">
      <c r="A187" s="1" t="str">
        <f>'Raw Tickets'!$A$187</f>
        <v>T00186</v>
      </c>
      <c r="B187" s="4">
        <f>'Raw Tickets'!$B$187</f>
        <v>45817</v>
      </c>
      <c r="C187" s="1" t="str">
        <f>'Raw Tickets'!$C$187</f>
        <v>A003</v>
      </c>
      <c r="D187" s="1" t="str">
        <f>'Raw Tickets'!$D$187</f>
        <v>Email</v>
      </c>
      <c r="E187" s="1" t="str">
        <f>'Raw Tickets'!$E$187</f>
        <v>Delivery Delay</v>
      </c>
      <c r="F187" s="1" t="str">
        <f>'Raw Tickets'!$F$187</f>
        <v>Low</v>
      </c>
      <c r="G187" s="1">
        <f>'Raw Tickets'!$G$187</f>
        <v>32</v>
      </c>
      <c r="H187" s="1">
        <f>'Raw Tickets'!$H$187</f>
        <v>47</v>
      </c>
      <c r="I187" s="1">
        <f>'Raw Tickets'!$I$187</f>
        <v>4</v>
      </c>
      <c r="J187" s="6">
        <f>'Raw Tickets'!$J$187</f>
        <v>86.3</v>
      </c>
      <c r="K187" s="1" t="str">
        <f>'Raw Tickets'!$K$187</f>
        <v>Closed</v>
      </c>
      <c r="L187" s="1" t="str">
        <f>'Raw Tickets'!$L$187</f>
        <v>No</v>
      </c>
      <c r="M187" s="1" t="str">
        <f>'Raw Tickets'!$M$187</f>
        <v>No</v>
      </c>
      <c r="N187" s="1" t="str">
        <f>IFERROR(VLOOKUP(C187,Agents!$A$2:$E$26,2,FALSE),"")</f>
        <v>Kabir Verma</v>
      </c>
      <c r="O187" s="1" t="str">
        <f>IFERROR(INDEX(Agents!$D$2:$D$26,MATCH(C187,Agents!$A$2:$A$26,0)),"")</f>
        <v>Email Support</v>
      </c>
      <c r="P187" s="1" t="str">
        <f>IFERROR(VLOOKUP(C187,Agents!$A$2:$E$26,3,FALSE),"")</f>
        <v>Aman Verma</v>
      </c>
      <c r="Q187" s="1" t="str">
        <f>IFERROR(VLOOKUP(C187,Agents!$A$2:$E$26,5,FALSE),"")</f>
        <v>Gurugram</v>
      </c>
      <c r="R187" s="1">
        <f>IFERROR(VLOOKUP(F187,#REF!,2,FALSE),0)</f>
        <v>0</v>
      </c>
      <c r="S187" s="1" t="str">
        <f t="shared" si="12"/>
        <v>Breached</v>
      </c>
      <c r="T187" s="1" t="str">
        <f t="shared" si="13"/>
        <v>Late</v>
      </c>
      <c r="U187" s="1" t="str">
        <f t="shared" si="14"/>
        <v>2025-06</v>
      </c>
      <c r="V187" s="1" t="str">
        <f t="shared" si="15"/>
        <v>Good</v>
      </c>
      <c r="W187" s="1" t="str">
        <f t="shared" si="16"/>
        <v>Pass</v>
      </c>
      <c r="X187" s="1" t="str">
        <f t="shared" si="17"/>
        <v>Unique</v>
      </c>
    </row>
    <row r="188" spans="1:24" ht="15" customHeight="1">
      <c r="A188" s="1" t="str">
        <f>'Raw Tickets'!$A$188</f>
        <v>T00187</v>
      </c>
      <c r="B188" s="4">
        <f>'Raw Tickets'!$B$188</f>
        <v>45815</v>
      </c>
      <c r="C188" s="1" t="str">
        <f>'Raw Tickets'!$C$188</f>
        <v>A009</v>
      </c>
      <c r="D188" s="1" t="str">
        <f>'Raw Tickets'!$D$188</f>
        <v>Email</v>
      </c>
      <c r="E188" s="1" t="str">
        <f>'Raw Tickets'!$E$188</f>
        <v>Delivery Delay</v>
      </c>
      <c r="F188" s="1" t="str">
        <f>'Raw Tickets'!$F$188</f>
        <v>Medium</v>
      </c>
      <c r="G188" s="1">
        <f>'Raw Tickets'!$G$188</f>
        <v>19.8</v>
      </c>
      <c r="H188" s="1">
        <f>'Raw Tickets'!$H$188</f>
        <v>24</v>
      </c>
      <c r="I188" s="1">
        <f>'Raw Tickets'!$I$188</f>
        <v>2</v>
      </c>
      <c r="J188" s="6">
        <f>'Raw Tickets'!$J$188</f>
        <v>71.8</v>
      </c>
      <c r="K188" s="1" t="str">
        <f>'Raw Tickets'!$K$188</f>
        <v>Closed</v>
      </c>
      <c r="L188" s="1" t="str">
        <f>'Raw Tickets'!$L$188</f>
        <v>No</v>
      </c>
      <c r="M188" s="1" t="str">
        <f>'Raw Tickets'!$M$188</f>
        <v>No</v>
      </c>
      <c r="N188" s="1" t="str">
        <f>IFERROR(VLOOKUP(C188,Agents!$A$2:$E$26,2,FALSE),"")</f>
        <v>Divya Mehta</v>
      </c>
      <c r="O188" s="1" t="str">
        <f>IFERROR(INDEX(Agents!$D$2:$D$26,MATCH(C188,Agents!$A$2:$A$26,0)),"")</f>
        <v>Voice Support</v>
      </c>
      <c r="P188" s="1" t="str">
        <f>IFERROR(VLOOKUP(C188,Agents!$A$2:$E$26,3,FALSE),"")</f>
        <v>Kritika Shah</v>
      </c>
      <c r="Q188" s="1" t="str">
        <f>IFERROR(VLOOKUP(C188,Agents!$A$2:$E$26,5,FALSE),"")</f>
        <v>Gurugram</v>
      </c>
      <c r="R188" s="1">
        <f>IFERROR(VLOOKUP(F188,#REF!,2,FALSE),0)</f>
        <v>0</v>
      </c>
      <c r="S188" s="1" t="str">
        <f t="shared" si="12"/>
        <v>Breached</v>
      </c>
      <c r="T188" s="1" t="str">
        <f t="shared" si="13"/>
        <v>Within Target</v>
      </c>
      <c r="U188" s="1" t="str">
        <f t="shared" si="14"/>
        <v>2025-06</v>
      </c>
      <c r="V188" s="1" t="str">
        <f t="shared" si="15"/>
        <v>Poor</v>
      </c>
      <c r="W188" s="1" t="str">
        <f t="shared" si="16"/>
        <v>Needs Coaching</v>
      </c>
      <c r="X188" s="1" t="str">
        <f t="shared" si="17"/>
        <v>Unique</v>
      </c>
    </row>
    <row r="189" spans="1:24" ht="15" customHeight="1">
      <c r="A189" s="1" t="str">
        <f>'Raw Tickets'!$A$189</f>
        <v>T00188</v>
      </c>
      <c r="B189" s="4">
        <f>'Raw Tickets'!$B$189</f>
        <v>45892</v>
      </c>
      <c r="C189" s="1" t="str">
        <f>'Raw Tickets'!$C$189</f>
        <v>A020</v>
      </c>
      <c r="D189" s="1" t="str">
        <f>'Raw Tickets'!$D$189</f>
        <v>Email</v>
      </c>
      <c r="E189" s="1" t="str">
        <f>'Raw Tickets'!$E$189</f>
        <v>Delivery Delay</v>
      </c>
      <c r="F189" s="1" t="str">
        <f>'Raw Tickets'!$F$189</f>
        <v>Low</v>
      </c>
      <c r="G189" s="1">
        <f>'Raw Tickets'!$G$189</f>
        <v>36.799999999999997</v>
      </c>
      <c r="H189" s="1">
        <f>'Raw Tickets'!$H$189</f>
        <v>56</v>
      </c>
      <c r="I189" s="1">
        <f>'Raw Tickets'!$I$189</f>
        <v>5</v>
      </c>
      <c r="J189" s="6">
        <f>'Raw Tickets'!$J$189</f>
        <v>84.4</v>
      </c>
      <c r="K189" s="1" t="str">
        <f>'Raw Tickets'!$K$189</f>
        <v>Closed</v>
      </c>
      <c r="L189" s="1" t="str">
        <f>'Raw Tickets'!$L$189</f>
        <v>No</v>
      </c>
      <c r="M189" s="1" t="str">
        <f>'Raw Tickets'!$M$189</f>
        <v>No</v>
      </c>
      <c r="N189" s="1" t="str">
        <f>IFERROR(VLOOKUP(C189,Agents!$A$2:$E$26,2,FALSE),"")</f>
        <v>Aditi Bansal</v>
      </c>
      <c r="O189" s="1" t="str">
        <f>IFERROR(INDEX(Agents!$D$2:$D$26,MATCH(C189,Agents!$A$2:$A$26,0)),"")</f>
        <v>Escalations</v>
      </c>
      <c r="P189" s="1" t="str">
        <f>IFERROR(VLOOKUP(C189,Agents!$A$2:$E$26,3,FALSE),"")</f>
        <v>Pallavi Rao</v>
      </c>
      <c r="Q189" s="1" t="str">
        <f>IFERROR(VLOOKUP(C189,Agents!$A$2:$E$26,5,FALSE),"")</f>
        <v>Noida</v>
      </c>
      <c r="R189" s="1">
        <f>IFERROR(VLOOKUP(F189,#REF!,2,FALSE),0)</f>
        <v>0</v>
      </c>
      <c r="S189" s="1" t="str">
        <f t="shared" si="12"/>
        <v>Breached</v>
      </c>
      <c r="T189" s="1" t="str">
        <f t="shared" si="13"/>
        <v>Late</v>
      </c>
      <c r="U189" s="1" t="str">
        <f t="shared" si="14"/>
        <v>2025-08</v>
      </c>
      <c r="V189" s="1" t="str">
        <f t="shared" si="15"/>
        <v>Good</v>
      </c>
      <c r="W189" s="1" t="str">
        <f t="shared" si="16"/>
        <v>Needs Coaching</v>
      </c>
      <c r="X189" s="1" t="str">
        <f t="shared" si="17"/>
        <v>Unique</v>
      </c>
    </row>
    <row r="190" spans="1:24" ht="15" customHeight="1">
      <c r="A190" s="1" t="str">
        <f>'Raw Tickets'!$A$190</f>
        <v>T00189</v>
      </c>
      <c r="B190" s="4">
        <f>'Raw Tickets'!$B$190</f>
        <v>45800</v>
      </c>
      <c r="C190" s="1" t="str">
        <f>'Raw Tickets'!$C$190</f>
        <v>A016</v>
      </c>
      <c r="D190" s="1" t="str">
        <f>'Raw Tickets'!$D$190</f>
        <v>Call</v>
      </c>
      <c r="E190" s="1" t="str">
        <f>'Raw Tickets'!$E$190</f>
        <v>Payment Failure</v>
      </c>
      <c r="F190" s="1" t="str">
        <f>'Raw Tickets'!$F$190</f>
        <v>Medium</v>
      </c>
      <c r="G190" s="1">
        <f>'Raw Tickets'!$G$190</f>
        <v>16.600000000000001</v>
      </c>
      <c r="H190" s="1">
        <f>'Raw Tickets'!$H$190</f>
        <v>22</v>
      </c>
      <c r="I190" s="1">
        <f>'Raw Tickets'!$I$190</f>
        <v>4</v>
      </c>
      <c r="J190" s="6">
        <f>'Raw Tickets'!$J$190</f>
        <v>99.3</v>
      </c>
      <c r="K190" s="1" t="str">
        <f>'Raw Tickets'!$K$190</f>
        <v>Open</v>
      </c>
      <c r="L190" s="1" t="str">
        <f>'Raw Tickets'!$L$190</f>
        <v>No</v>
      </c>
      <c r="M190" s="1" t="str">
        <f>'Raw Tickets'!$M$190</f>
        <v>Yes</v>
      </c>
      <c r="N190" s="1" t="str">
        <f>IFERROR(VLOOKUP(C190,Agents!$A$2:$E$26,2,FALSE),"")</f>
        <v>Pooja Bansal</v>
      </c>
      <c r="O190" s="1" t="str">
        <f>IFERROR(INDEX(Agents!$D$2:$D$26,MATCH(C190,Agents!$A$2:$A$26,0)),"")</f>
        <v>Escalations</v>
      </c>
      <c r="P190" s="1" t="str">
        <f>IFERROR(VLOOKUP(C190,Agents!$A$2:$E$26,3,FALSE),"")</f>
        <v>Pallavi Rao</v>
      </c>
      <c r="Q190" s="1" t="str">
        <f>IFERROR(VLOOKUP(C190,Agents!$A$2:$E$26,5,FALSE),"")</f>
        <v>Hyderabad</v>
      </c>
      <c r="R190" s="1">
        <f>IFERROR(VLOOKUP(F190,#REF!,2,FALSE),0)</f>
        <v>0</v>
      </c>
      <c r="S190" s="1" t="str">
        <f t="shared" si="12"/>
        <v>Breached</v>
      </c>
      <c r="T190" s="1" t="str">
        <f t="shared" si="13"/>
        <v>Within Target</v>
      </c>
      <c r="U190" s="1" t="str">
        <f t="shared" si="14"/>
        <v>2025-05</v>
      </c>
      <c r="V190" s="1" t="str">
        <f t="shared" si="15"/>
        <v>Good</v>
      </c>
      <c r="W190" s="1" t="str">
        <f t="shared" si="16"/>
        <v>Pass</v>
      </c>
      <c r="X190" s="1" t="str">
        <f t="shared" si="17"/>
        <v>Unique</v>
      </c>
    </row>
    <row r="191" spans="1:24" ht="15" customHeight="1">
      <c r="A191" s="1" t="str">
        <f>'Raw Tickets'!$A$191</f>
        <v>T00190</v>
      </c>
      <c r="B191" s="4">
        <f>'Raw Tickets'!$B$191</f>
        <v>45861</v>
      </c>
      <c r="C191" s="1" t="str">
        <f>'Raw Tickets'!$C$191</f>
        <v>A002</v>
      </c>
      <c r="D191" s="1" t="str">
        <f>'Raw Tickets'!$D$191</f>
        <v>Email</v>
      </c>
      <c r="E191" s="1" t="str">
        <f>'Raw Tickets'!$E$191</f>
        <v>Product Quality</v>
      </c>
      <c r="F191" s="1" t="str">
        <f>'Raw Tickets'!$F$191</f>
        <v>Medium</v>
      </c>
      <c r="G191" s="1">
        <f>'Raw Tickets'!$G$191</f>
        <v>18.600000000000001</v>
      </c>
      <c r="H191" s="1">
        <f>'Raw Tickets'!$H$191</f>
        <v>77</v>
      </c>
      <c r="I191" s="1">
        <f>'Raw Tickets'!$I$191</f>
        <v>5</v>
      </c>
      <c r="J191" s="6">
        <f>'Raw Tickets'!$J$191</f>
        <v>90.4</v>
      </c>
      <c r="K191" s="1" t="str">
        <f>'Raw Tickets'!$K$191</f>
        <v>Closed</v>
      </c>
      <c r="L191" s="1" t="str">
        <f>'Raw Tickets'!$L$191</f>
        <v>No</v>
      </c>
      <c r="M191" s="1" t="str">
        <f>'Raw Tickets'!$M$191</f>
        <v>No</v>
      </c>
      <c r="N191" s="1" t="str">
        <f>IFERROR(VLOOKUP(C191,Agents!$A$2:$E$26,2,FALSE),"")</f>
        <v>Gaurav Khan</v>
      </c>
      <c r="O191" s="1" t="str">
        <f>IFERROR(INDEX(Agents!$D$2:$D$26,MATCH(C191,Agents!$A$2:$A$26,0)),"")</f>
        <v>Email Support</v>
      </c>
      <c r="P191" s="1" t="str">
        <f>IFERROR(VLOOKUP(C191,Agents!$A$2:$E$26,3,FALSE),"")</f>
        <v>Aman Verma</v>
      </c>
      <c r="Q191" s="1" t="str">
        <f>IFERROR(VLOOKUP(C191,Agents!$A$2:$E$26,5,FALSE),"")</f>
        <v>Noida</v>
      </c>
      <c r="R191" s="1">
        <f>IFERROR(VLOOKUP(F191,#REF!,2,FALSE),0)</f>
        <v>0</v>
      </c>
      <c r="S191" s="1" t="str">
        <f t="shared" si="12"/>
        <v>Breached</v>
      </c>
      <c r="T191" s="1" t="str">
        <f t="shared" si="13"/>
        <v>Late</v>
      </c>
      <c r="U191" s="1" t="str">
        <f t="shared" si="14"/>
        <v>2025-07</v>
      </c>
      <c r="V191" s="1" t="str">
        <f t="shared" si="15"/>
        <v>Good</v>
      </c>
      <c r="W191" s="1" t="str">
        <f t="shared" si="16"/>
        <v>Pass</v>
      </c>
      <c r="X191" s="1" t="str">
        <f t="shared" si="17"/>
        <v>Unique</v>
      </c>
    </row>
    <row r="192" spans="1:24" ht="15" customHeight="1">
      <c r="A192" s="1" t="str">
        <f>'Raw Tickets'!$A$192</f>
        <v>T00191</v>
      </c>
      <c r="B192" s="4">
        <f>'Raw Tickets'!$B$192</f>
        <v>45963</v>
      </c>
      <c r="C192" s="1" t="str">
        <f>'Raw Tickets'!$C$192</f>
        <v>A019</v>
      </c>
      <c r="D192" s="1" t="str">
        <f>'Raw Tickets'!$D$192</f>
        <v>Chat</v>
      </c>
      <c r="E192" s="1" t="str">
        <f>'Raw Tickets'!$E$192</f>
        <v>Delivery Delay</v>
      </c>
      <c r="F192" s="1" t="str">
        <f>'Raw Tickets'!$F$192</f>
        <v>Medium</v>
      </c>
      <c r="G192" s="1">
        <f>'Raw Tickets'!$G$192</f>
        <v>16.600000000000001</v>
      </c>
      <c r="H192" s="1">
        <f>'Raw Tickets'!$H$192</f>
        <v>46</v>
      </c>
      <c r="I192" s="1">
        <f>'Raw Tickets'!$I$192</f>
        <v>5</v>
      </c>
      <c r="J192" s="6">
        <f>'Raw Tickets'!$J$192</f>
        <v>77.900000000000006</v>
      </c>
      <c r="K192" s="1" t="str">
        <f>'Raw Tickets'!$K$192</f>
        <v>Closed</v>
      </c>
      <c r="L192" s="1" t="str">
        <f>'Raw Tickets'!$L$192</f>
        <v>No</v>
      </c>
      <c r="M192" s="1" t="str">
        <f>'Raw Tickets'!$M$192</f>
        <v>No</v>
      </c>
      <c r="N192" s="1" t="str">
        <f>IFERROR(VLOOKUP(C192,Agents!$A$2:$E$26,2,FALSE),"")</f>
        <v>Sneha Joshi</v>
      </c>
      <c r="O192" s="1" t="str">
        <f>IFERROR(INDEX(Agents!$D$2:$D$26,MATCH(C192,Agents!$A$2:$A$26,0)),"")</f>
        <v>Escalations</v>
      </c>
      <c r="P192" s="1" t="str">
        <f>IFERROR(VLOOKUP(C192,Agents!$A$2:$E$26,3,FALSE),"")</f>
        <v>Pallavi Rao</v>
      </c>
      <c r="Q192" s="1" t="str">
        <f>IFERROR(VLOOKUP(C192,Agents!$A$2:$E$26,5,FALSE),"")</f>
        <v>Hyderabad</v>
      </c>
      <c r="R192" s="1">
        <f>IFERROR(VLOOKUP(F192,#REF!,2,FALSE),0)</f>
        <v>0</v>
      </c>
      <c r="S192" s="1" t="str">
        <f t="shared" si="12"/>
        <v>Breached</v>
      </c>
      <c r="T192" s="1" t="str">
        <f t="shared" si="13"/>
        <v>Late</v>
      </c>
      <c r="U192" s="1" t="str">
        <f t="shared" si="14"/>
        <v>2025-11</v>
      </c>
      <c r="V192" s="1" t="str">
        <f t="shared" si="15"/>
        <v>Good</v>
      </c>
      <c r="W192" s="1" t="str">
        <f t="shared" si="16"/>
        <v>Needs Coaching</v>
      </c>
      <c r="X192" s="1" t="str">
        <f t="shared" si="17"/>
        <v>Unique</v>
      </c>
    </row>
    <row r="193" spans="1:24" ht="15" customHeight="1">
      <c r="A193" s="1" t="str">
        <f>'Raw Tickets'!$A$193</f>
        <v>T00192</v>
      </c>
      <c r="B193" s="4">
        <f>'Raw Tickets'!$B$193</f>
        <v>46008</v>
      </c>
      <c r="C193" s="1" t="str">
        <f>'Raw Tickets'!$C$193</f>
        <v>A023</v>
      </c>
      <c r="D193" s="1" t="str">
        <f>'Raw Tickets'!$D$193</f>
        <v>Email</v>
      </c>
      <c r="E193" s="1" t="str">
        <f>'Raw Tickets'!$E$193</f>
        <v>Order Cancellation</v>
      </c>
      <c r="F193" s="1" t="str">
        <f>'Raw Tickets'!$F$193</f>
        <v>Low</v>
      </c>
      <c r="G193" s="1">
        <f>'Raw Tickets'!$G$193</f>
        <v>73.3</v>
      </c>
      <c r="H193" s="1">
        <f>'Raw Tickets'!$H$193</f>
        <v>29</v>
      </c>
      <c r="I193" s="1">
        <f>'Raw Tickets'!$I$193</f>
        <v>4</v>
      </c>
      <c r="J193" s="6">
        <f>'Raw Tickets'!$J$193</f>
        <v>87.5</v>
      </c>
      <c r="K193" s="1" t="str">
        <f>'Raw Tickets'!$K$193</f>
        <v>Closed</v>
      </c>
      <c r="L193" s="1" t="str">
        <f>'Raw Tickets'!$L$193</f>
        <v>No</v>
      </c>
      <c r="M193" s="1" t="str">
        <f>'Raw Tickets'!$M$193</f>
        <v>No</v>
      </c>
      <c r="N193" s="1" t="str">
        <f>IFERROR(VLOOKUP(C193,Agents!$A$2:$E$26,2,FALSE),"")</f>
        <v>Ishita Verma</v>
      </c>
      <c r="O193" s="1" t="str">
        <f>IFERROR(INDEX(Agents!$D$2:$D$26,MATCH(C193,Agents!$A$2:$A$26,0)),"")</f>
        <v>Seller Support</v>
      </c>
      <c r="P193" s="1" t="str">
        <f>IFERROR(VLOOKUP(C193,Agents!$A$2:$E$26,3,FALSE),"")</f>
        <v>Vivek Jain</v>
      </c>
      <c r="Q193" s="1" t="str">
        <f>IFERROR(VLOOKUP(C193,Agents!$A$2:$E$26,5,FALSE),"")</f>
        <v>Noida</v>
      </c>
      <c r="R193" s="1">
        <f>IFERROR(VLOOKUP(F193,#REF!,2,FALSE),0)</f>
        <v>0</v>
      </c>
      <c r="S193" s="1" t="str">
        <f t="shared" si="12"/>
        <v>Breached</v>
      </c>
      <c r="T193" s="1" t="str">
        <f t="shared" si="13"/>
        <v>Within Target</v>
      </c>
      <c r="U193" s="1" t="str">
        <f t="shared" si="14"/>
        <v>2025-12</v>
      </c>
      <c r="V193" s="1" t="str">
        <f t="shared" si="15"/>
        <v>Good</v>
      </c>
      <c r="W193" s="1" t="str">
        <f t="shared" si="16"/>
        <v>Pass</v>
      </c>
      <c r="X193" s="1" t="str">
        <f t="shared" si="17"/>
        <v>Unique</v>
      </c>
    </row>
    <row r="194" spans="1:24" ht="15" customHeight="1">
      <c r="A194" s="1" t="str">
        <f>'Raw Tickets'!$A$194</f>
        <v>T00193</v>
      </c>
      <c r="B194" s="4">
        <f>'Raw Tickets'!$B$194</f>
        <v>45908</v>
      </c>
      <c r="C194" s="1" t="str">
        <f>'Raw Tickets'!$C$194</f>
        <v>A019</v>
      </c>
      <c r="D194" s="1" t="str">
        <f>'Raw Tickets'!$D$194</f>
        <v>Call</v>
      </c>
      <c r="E194" s="1" t="str">
        <f>'Raw Tickets'!$E$194</f>
        <v>Order Cancellation</v>
      </c>
      <c r="F194" s="1" t="str">
        <f>'Raw Tickets'!$F$194</f>
        <v>High</v>
      </c>
      <c r="G194" s="1">
        <f>'Raw Tickets'!$G$194</f>
        <v>18.8</v>
      </c>
      <c r="H194" s="1">
        <f>'Raw Tickets'!$H$194</f>
        <v>16</v>
      </c>
      <c r="I194" s="1">
        <f>'Raw Tickets'!$I$194</f>
        <v>5</v>
      </c>
      <c r="J194" s="6">
        <f>'Raw Tickets'!$J$194</f>
        <v>75</v>
      </c>
      <c r="K194" s="1" t="str">
        <f>'Raw Tickets'!$K$194</f>
        <v>Closed</v>
      </c>
      <c r="L194" s="1" t="str">
        <f>'Raw Tickets'!$L$194</f>
        <v>No</v>
      </c>
      <c r="M194" s="1" t="str">
        <f>'Raw Tickets'!$M$194</f>
        <v>No</v>
      </c>
      <c r="N194" s="1" t="str">
        <f>IFERROR(VLOOKUP(C194,Agents!$A$2:$E$26,2,FALSE),"")</f>
        <v>Sneha Joshi</v>
      </c>
      <c r="O194" s="1" t="str">
        <f>IFERROR(INDEX(Agents!$D$2:$D$26,MATCH(C194,Agents!$A$2:$A$26,0)),"")</f>
        <v>Escalations</v>
      </c>
      <c r="P194" s="1" t="str">
        <f>IFERROR(VLOOKUP(C194,Agents!$A$2:$E$26,3,FALSE),"")</f>
        <v>Pallavi Rao</v>
      </c>
      <c r="Q194" s="1" t="str">
        <f>IFERROR(VLOOKUP(C194,Agents!$A$2:$E$26,5,FALSE),"")</f>
        <v>Hyderabad</v>
      </c>
      <c r="R194" s="1">
        <f>IFERROR(VLOOKUP(F194,#REF!,2,FALSE),0)</f>
        <v>0</v>
      </c>
      <c r="S194" s="1" t="str">
        <f t="shared" ref="S194:S257" si="18">IF(G194&lt;=R194,"Met","Breached")</f>
        <v>Breached</v>
      </c>
      <c r="T194" s="1" t="str">
        <f t="shared" ref="T194:T257" si="19">IF(H194&lt;=30,"Within Target","Late")</f>
        <v>Within Target</v>
      </c>
      <c r="U194" s="1" t="str">
        <f t="shared" ref="U194:U257" si="20">TEXT(B194,"yyyy-mm")</f>
        <v>2025-09</v>
      </c>
      <c r="V194" s="1" t="str">
        <f t="shared" ref="V194:V257" si="21">IF(I194&gt;=4,"Good",IF(I194=3,"Average","Poor"))</f>
        <v>Good</v>
      </c>
      <c r="W194" s="1" t="str">
        <f t="shared" ref="W194:W257" si="22">IF(J194&gt;=85,"Pass","Needs Coaching")</f>
        <v>Needs Coaching</v>
      </c>
      <c r="X194" s="1" t="str">
        <f t="shared" ref="X194:X257" si="23">IF(COUNTIF($A$2:$A$501,A194)&gt;1,"Duplicate","Unique")</f>
        <v>Unique</v>
      </c>
    </row>
    <row r="195" spans="1:24" ht="15" customHeight="1">
      <c r="A195" s="1" t="str">
        <f>'Raw Tickets'!$A$195</f>
        <v>T00194</v>
      </c>
      <c r="B195" s="4">
        <f>'Raw Tickets'!$B$195</f>
        <v>45891</v>
      </c>
      <c r="C195" s="1" t="str">
        <f>'Raw Tickets'!$C$195</f>
        <v>A024</v>
      </c>
      <c r="D195" s="1" t="str">
        <f>'Raw Tickets'!$D$195</f>
        <v>Chat</v>
      </c>
      <c r="E195" s="1" t="str">
        <f>'Raw Tickets'!$E$195</f>
        <v>Delivery Delay</v>
      </c>
      <c r="F195" s="1" t="str">
        <f>'Raw Tickets'!$F$195</f>
        <v>Low</v>
      </c>
      <c r="G195" s="1">
        <f>'Raw Tickets'!$G$195</f>
        <v>13.9</v>
      </c>
      <c r="H195" s="1">
        <f>'Raw Tickets'!$H$195</f>
        <v>39</v>
      </c>
      <c r="I195" s="1">
        <f>'Raw Tickets'!$I$195</f>
        <v>5</v>
      </c>
      <c r="J195" s="6">
        <f>'Raw Tickets'!$J$195</f>
        <v>86.2</v>
      </c>
      <c r="K195" s="1" t="str">
        <f>'Raw Tickets'!$K$195</f>
        <v>Closed</v>
      </c>
      <c r="L195" s="1" t="str">
        <f>'Raw Tickets'!$L$195</f>
        <v>No</v>
      </c>
      <c r="M195" s="1" t="str">
        <f>'Raw Tickets'!$M$195</f>
        <v>No</v>
      </c>
      <c r="N195" s="1" t="str">
        <f>IFERROR(VLOOKUP(C195,Agents!$A$2:$E$26,2,FALSE),"")</f>
        <v>Rohan Verma</v>
      </c>
      <c r="O195" s="1" t="str">
        <f>IFERROR(INDEX(Agents!$D$2:$D$26,MATCH(C195,Agents!$A$2:$A$26,0)),"")</f>
        <v>Seller Support</v>
      </c>
      <c r="P195" s="1" t="str">
        <f>IFERROR(VLOOKUP(C195,Agents!$A$2:$E$26,3,FALSE),"")</f>
        <v>Vivek Jain</v>
      </c>
      <c r="Q195" s="1" t="str">
        <f>IFERROR(VLOOKUP(C195,Agents!$A$2:$E$26,5,FALSE),"")</f>
        <v>Noida</v>
      </c>
      <c r="R195" s="1">
        <f>IFERROR(VLOOKUP(F195,#REF!,2,FALSE),0)</f>
        <v>0</v>
      </c>
      <c r="S195" s="1" t="str">
        <f t="shared" si="18"/>
        <v>Breached</v>
      </c>
      <c r="T195" s="1" t="str">
        <f t="shared" si="19"/>
        <v>Late</v>
      </c>
      <c r="U195" s="1" t="str">
        <f t="shared" si="20"/>
        <v>2025-08</v>
      </c>
      <c r="V195" s="1" t="str">
        <f t="shared" si="21"/>
        <v>Good</v>
      </c>
      <c r="W195" s="1" t="str">
        <f t="shared" si="22"/>
        <v>Pass</v>
      </c>
      <c r="X195" s="1" t="str">
        <f t="shared" si="23"/>
        <v>Unique</v>
      </c>
    </row>
    <row r="196" spans="1:24" ht="15" customHeight="1">
      <c r="A196" s="1" t="str">
        <f>'Raw Tickets'!$A$196</f>
        <v>T00195</v>
      </c>
      <c r="B196" s="4">
        <f>'Raw Tickets'!$B$196</f>
        <v>45706</v>
      </c>
      <c r="C196" s="1" t="str">
        <f>'Raw Tickets'!$C$196</f>
        <v>A023</v>
      </c>
      <c r="D196" s="1" t="str">
        <f>'Raw Tickets'!$D$196</f>
        <v>Call</v>
      </c>
      <c r="E196" s="1" t="str">
        <f>'Raw Tickets'!$E$196</f>
        <v>Payment Failure</v>
      </c>
      <c r="F196" s="1" t="str">
        <f>'Raw Tickets'!$F$196</f>
        <v>High</v>
      </c>
      <c r="G196" s="1">
        <f>'Raw Tickets'!$G$196</f>
        <v>2.9</v>
      </c>
      <c r="H196" s="1">
        <f>'Raw Tickets'!$H$196</f>
        <v>46</v>
      </c>
      <c r="I196" s="1">
        <f>'Raw Tickets'!$I$196</f>
        <v>1</v>
      </c>
      <c r="J196" s="6">
        <f>'Raw Tickets'!$J$196</f>
        <v>70.900000000000006</v>
      </c>
      <c r="K196" s="1" t="str">
        <f>'Raw Tickets'!$K$196</f>
        <v>Closed</v>
      </c>
      <c r="L196" s="1" t="str">
        <f>'Raw Tickets'!$L$196</f>
        <v>No</v>
      </c>
      <c r="M196" s="1" t="str">
        <f>'Raw Tickets'!$M$196</f>
        <v>Yes</v>
      </c>
      <c r="N196" s="1" t="str">
        <f>IFERROR(VLOOKUP(C196,Agents!$A$2:$E$26,2,FALSE),"")</f>
        <v>Ishita Verma</v>
      </c>
      <c r="O196" s="1" t="str">
        <f>IFERROR(INDEX(Agents!$D$2:$D$26,MATCH(C196,Agents!$A$2:$A$26,0)),"")</f>
        <v>Seller Support</v>
      </c>
      <c r="P196" s="1" t="str">
        <f>IFERROR(VLOOKUP(C196,Agents!$A$2:$E$26,3,FALSE),"")</f>
        <v>Vivek Jain</v>
      </c>
      <c r="Q196" s="1" t="str">
        <f>IFERROR(VLOOKUP(C196,Agents!$A$2:$E$26,5,FALSE),"")</f>
        <v>Noida</v>
      </c>
      <c r="R196" s="1">
        <f>IFERROR(VLOOKUP(F196,#REF!,2,FALSE),0)</f>
        <v>0</v>
      </c>
      <c r="S196" s="1" t="str">
        <f t="shared" si="18"/>
        <v>Breached</v>
      </c>
      <c r="T196" s="1" t="str">
        <f t="shared" si="19"/>
        <v>Late</v>
      </c>
      <c r="U196" s="1" t="str">
        <f t="shared" si="20"/>
        <v>2025-02</v>
      </c>
      <c r="V196" s="1" t="str">
        <f t="shared" si="21"/>
        <v>Poor</v>
      </c>
      <c r="W196" s="1" t="str">
        <f t="shared" si="22"/>
        <v>Needs Coaching</v>
      </c>
      <c r="X196" s="1" t="str">
        <f t="shared" si="23"/>
        <v>Unique</v>
      </c>
    </row>
    <row r="197" spans="1:24" ht="15" customHeight="1">
      <c r="A197" s="1" t="str">
        <f>'Raw Tickets'!$A$197</f>
        <v>T00196</v>
      </c>
      <c r="B197" s="4">
        <f>'Raw Tickets'!$B$197</f>
        <v>45668</v>
      </c>
      <c r="C197" s="1" t="str">
        <f>'Raw Tickets'!$C$197</f>
        <v>A008</v>
      </c>
      <c r="D197" s="1" t="str">
        <f>'Raw Tickets'!$D$197</f>
        <v>Email</v>
      </c>
      <c r="E197" s="1" t="str">
        <f>'Raw Tickets'!$E$197</f>
        <v>Payment Failure</v>
      </c>
      <c r="F197" s="1" t="str">
        <f>'Raw Tickets'!$F$197</f>
        <v>Low</v>
      </c>
      <c r="G197" s="1">
        <f>'Raw Tickets'!$G$197</f>
        <v>58.5</v>
      </c>
      <c r="H197" s="1">
        <f>'Raw Tickets'!$H$197</f>
        <v>8</v>
      </c>
      <c r="I197" s="1">
        <f>'Raw Tickets'!$I$197</f>
        <v>4</v>
      </c>
      <c r="J197" s="6">
        <f>'Raw Tickets'!$J$197</f>
        <v>85.2</v>
      </c>
      <c r="K197" s="1" t="str">
        <f>'Raw Tickets'!$K$197</f>
        <v>Closed</v>
      </c>
      <c r="L197" s="1" t="str">
        <f>'Raw Tickets'!$L$197</f>
        <v>No</v>
      </c>
      <c r="M197" s="1" t="str">
        <f>'Raw Tickets'!$M$197</f>
        <v>No</v>
      </c>
      <c r="N197" s="1" t="str">
        <f>IFERROR(VLOOKUP(C197,Agents!$A$2:$E$26,2,FALSE),"")</f>
        <v>Ananya Mishra</v>
      </c>
      <c r="O197" s="1" t="str">
        <f>IFERROR(INDEX(Agents!$D$2:$D$26,MATCH(C197,Agents!$A$2:$A$26,0)),"")</f>
        <v>Voice Support</v>
      </c>
      <c r="P197" s="1" t="str">
        <f>IFERROR(VLOOKUP(C197,Agents!$A$2:$E$26,3,FALSE),"")</f>
        <v>Kritika Shah</v>
      </c>
      <c r="Q197" s="1" t="str">
        <f>IFERROR(VLOOKUP(C197,Agents!$A$2:$E$26,5,FALSE),"")</f>
        <v>Hyderabad</v>
      </c>
      <c r="R197" s="1">
        <f>IFERROR(VLOOKUP(F197,#REF!,2,FALSE),0)</f>
        <v>0</v>
      </c>
      <c r="S197" s="1" t="str">
        <f t="shared" si="18"/>
        <v>Breached</v>
      </c>
      <c r="T197" s="1" t="str">
        <f t="shared" si="19"/>
        <v>Within Target</v>
      </c>
      <c r="U197" s="1" t="str">
        <f t="shared" si="20"/>
        <v>2025-01</v>
      </c>
      <c r="V197" s="1" t="str">
        <f t="shared" si="21"/>
        <v>Good</v>
      </c>
      <c r="W197" s="1" t="str">
        <f t="shared" si="22"/>
        <v>Pass</v>
      </c>
      <c r="X197" s="1" t="str">
        <f t="shared" si="23"/>
        <v>Unique</v>
      </c>
    </row>
    <row r="198" spans="1:24" ht="15" customHeight="1">
      <c r="A198" s="1" t="str">
        <f>'Raw Tickets'!$A$198</f>
        <v>T00197</v>
      </c>
      <c r="B198" s="4">
        <f>'Raw Tickets'!$B$198</f>
        <v>45679</v>
      </c>
      <c r="C198" s="1" t="str">
        <f>'Raw Tickets'!$C$198</f>
        <v>A016</v>
      </c>
      <c r="D198" s="1" t="str">
        <f>'Raw Tickets'!$D$198</f>
        <v>Chat</v>
      </c>
      <c r="E198" s="1" t="str">
        <f>'Raw Tickets'!$E$198</f>
        <v>Product Quality</v>
      </c>
      <c r="F198" s="1" t="str">
        <f>'Raw Tickets'!$F$198</f>
        <v>Medium</v>
      </c>
      <c r="G198" s="1">
        <f>'Raw Tickets'!$G$198</f>
        <v>16.5</v>
      </c>
      <c r="H198" s="1">
        <f>'Raw Tickets'!$H$198</f>
        <v>51</v>
      </c>
      <c r="I198" s="1">
        <f>'Raw Tickets'!$I$198</f>
        <v>4</v>
      </c>
      <c r="J198" s="6">
        <f>'Raw Tickets'!$J$198</f>
        <v>65.2</v>
      </c>
      <c r="K198" s="1" t="str">
        <f>'Raw Tickets'!$K$198</f>
        <v>Closed</v>
      </c>
      <c r="L198" s="1" t="str">
        <f>'Raw Tickets'!$L$198</f>
        <v>No</v>
      </c>
      <c r="M198" s="1" t="str">
        <f>'Raw Tickets'!$M$198</f>
        <v>No</v>
      </c>
      <c r="N198" s="1" t="str">
        <f>IFERROR(VLOOKUP(C198,Agents!$A$2:$E$26,2,FALSE),"")</f>
        <v>Pooja Bansal</v>
      </c>
      <c r="O198" s="1" t="str">
        <f>IFERROR(INDEX(Agents!$D$2:$D$26,MATCH(C198,Agents!$A$2:$A$26,0)),"")</f>
        <v>Escalations</v>
      </c>
      <c r="P198" s="1" t="str">
        <f>IFERROR(VLOOKUP(C198,Agents!$A$2:$E$26,3,FALSE),"")</f>
        <v>Pallavi Rao</v>
      </c>
      <c r="Q198" s="1" t="str">
        <f>IFERROR(VLOOKUP(C198,Agents!$A$2:$E$26,5,FALSE),"")</f>
        <v>Hyderabad</v>
      </c>
      <c r="R198" s="1">
        <f>IFERROR(VLOOKUP(F198,#REF!,2,FALSE),0)</f>
        <v>0</v>
      </c>
      <c r="S198" s="1" t="str">
        <f t="shared" si="18"/>
        <v>Breached</v>
      </c>
      <c r="T198" s="1" t="str">
        <f t="shared" si="19"/>
        <v>Late</v>
      </c>
      <c r="U198" s="1" t="str">
        <f t="shared" si="20"/>
        <v>2025-01</v>
      </c>
      <c r="V198" s="1" t="str">
        <f t="shared" si="21"/>
        <v>Good</v>
      </c>
      <c r="W198" s="1" t="str">
        <f t="shared" si="22"/>
        <v>Needs Coaching</v>
      </c>
      <c r="X198" s="1" t="str">
        <f t="shared" si="23"/>
        <v>Unique</v>
      </c>
    </row>
    <row r="199" spans="1:24" ht="15" customHeight="1">
      <c r="A199" s="1" t="str">
        <f>'Raw Tickets'!$A$199</f>
        <v>T00198</v>
      </c>
      <c r="B199" s="4">
        <f>'Raw Tickets'!$B$199</f>
        <v>45712</v>
      </c>
      <c r="C199" s="1" t="str">
        <f>'Raw Tickets'!$C$199</f>
        <v>A018</v>
      </c>
      <c r="D199" s="1" t="str">
        <f>'Raw Tickets'!$D$199</f>
        <v>Chat</v>
      </c>
      <c r="E199" s="1" t="str">
        <f>'Raw Tickets'!$E$199</f>
        <v>Delivery Delay</v>
      </c>
      <c r="F199" s="1" t="str">
        <f>'Raw Tickets'!$F$199</f>
        <v>High</v>
      </c>
      <c r="G199" s="1">
        <f>'Raw Tickets'!$G$199</f>
        <v>2.2000000000000002</v>
      </c>
      <c r="H199" s="1">
        <f>'Raw Tickets'!$H$199</f>
        <v>33</v>
      </c>
      <c r="I199" s="1">
        <f>'Raw Tickets'!$I$199</f>
        <v>5</v>
      </c>
      <c r="J199" s="6">
        <f>'Raw Tickets'!$J$199</f>
        <v>97.8</v>
      </c>
      <c r="K199" s="1" t="str">
        <f>'Raw Tickets'!$K$199</f>
        <v>Closed</v>
      </c>
      <c r="L199" s="1" t="str">
        <f>'Raw Tickets'!$L$199</f>
        <v>No</v>
      </c>
      <c r="M199" s="1" t="str">
        <f>'Raw Tickets'!$M$199</f>
        <v>No</v>
      </c>
      <c r="N199" s="1" t="str">
        <f>IFERROR(VLOOKUP(C199,Agents!$A$2:$E$26,2,FALSE),"")</f>
        <v>Rahul Verma</v>
      </c>
      <c r="O199" s="1" t="str">
        <f>IFERROR(INDEX(Agents!$D$2:$D$26,MATCH(C199,Agents!$A$2:$A$26,0)),"")</f>
        <v>Escalations</v>
      </c>
      <c r="P199" s="1" t="str">
        <f>IFERROR(VLOOKUP(C199,Agents!$A$2:$E$26,3,FALSE),"")</f>
        <v>Pallavi Rao</v>
      </c>
      <c r="Q199" s="1" t="str">
        <f>IFERROR(VLOOKUP(C199,Agents!$A$2:$E$26,5,FALSE),"")</f>
        <v>Hyderabad</v>
      </c>
      <c r="R199" s="1">
        <f>IFERROR(VLOOKUP(F199,#REF!,2,FALSE),0)</f>
        <v>0</v>
      </c>
      <c r="S199" s="1" t="str">
        <f t="shared" si="18"/>
        <v>Breached</v>
      </c>
      <c r="T199" s="1" t="str">
        <f t="shared" si="19"/>
        <v>Late</v>
      </c>
      <c r="U199" s="1" t="str">
        <f t="shared" si="20"/>
        <v>2025-02</v>
      </c>
      <c r="V199" s="1" t="str">
        <f t="shared" si="21"/>
        <v>Good</v>
      </c>
      <c r="W199" s="1" t="str">
        <f t="shared" si="22"/>
        <v>Pass</v>
      </c>
      <c r="X199" s="1" t="str">
        <f t="shared" si="23"/>
        <v>Unique</v>
      </c>
    </row>
    <row r="200" spans="1:24" ht="15" customHeight="1">
      <c r="A200" s="1" t="str">
        <f>'Raw Tickets'!$A$200</f>
        <v>T00199</v>
      </c>
      <c r="B200" s="4">
        <f>'Raw Tickets'!$B$200</f>
        <v>45996</v>
      </c>
      <c r="C200" s="1" t="str">
        <f>'Raw Tickets'!$C$200</f>
        <v>A012</v>
      </c>
      <c r="D200" s="1" t="str">
        <f>'Raw Tickets'!$D$200</f>
        <v>Chat</v>
      </c>
      <c r="E200" s="1" t="str">
        <f>'Raw Tickets'!$E$200</f>
        <v>Refund</v>
      </c>
      <c r="F200" s="1" t="str">
        <f>'Raw Tickets'!$F$200</f>
        <v>Medium</v>
      </c>
      <c r="G200" s="1">
        <f>'Raw Tickets'!$G$200</f>
        <v>40.4</v>
      </c>
      <c r="H200" s="1">
        <f>'Raw Tickets'!$H$200</f>
        <v>29</v>
      </c>
      <c r="I200" s="1">
        <f>'Raw Tickets'!$I$200</f>
        <v>4</v>
      </c>
      <c r="J200" s="6">
        <f>'Raw Tickets'!$J$200</f>
        <v>87.5</v>
      </c>
      <c r="K200" s="1" t="str">
        <f>'Raw Tickets'!$K$200</f>
        <v>Closed</v>
      </c>
      <c r="L200" s="1" t="str">
        <f>'Raw Tickets'!$L$200</f>
        <v>No</v>
      </c>
      <c r="M200" s="1" t="str">
        <f>'Raw Tickets'!$M$200</f>
        <v>No</v>
      </c>
      <c r="N200" s="1" t="str">
        <f>IFERROR(VLOOKUP(C200,Agents!$A$2:$E$26,2,FALSE),"")</f>
        <v>Ankit Khan</v>
      </c>
      <c r="O200" s="1" t="str">
        <f>IFERROR(INDEX(Agents!$D$2:$D$26,MATCH(C200,Agents!$A$2:$A$26,0)),"")</f>
        <v>Chat Support</v>
      </c>
      <c r="P200" s="1" t="str">
        <f>IFERROR(VLOOKUP(C200,Agents!$A$2:$E$26,3,FALSE),"")</f>
        <v>Nitin Gupta</v>
      </c>
      <c r="Q200" s="1" t="str">
        <f>IFERROR(VLOOKUP(C200,Agents!$A$2:$E$26,5,FALSE),"")</f>
        <v>Bengaluru</v>
      </c>
      <c r="R200" s="1">
        <f>IFERROR(VLOOKUP(F200,#REF!,2,FALSE),0)</f>
        <v>0</v>
      </c>
      <c r="S200" s="1" t="str">
        <f t="shared" si="18"/>
        <v>Breached</v>
      </c>
      <c r="T200" s="1" t="str">
        <f t="shared" si="19"/>
        <v>Within Target</v>
      </c>
      <c r="U200" s="1" t="str">
        <f t="shared" si="20"/>
        <v>2025-12</v>
      </c>
      <c r="V200" s="1" t="str">
        <f t="shared" si="21"/>
        <v>Good</v>
      </c>
      <c r="W200" s="1" t="str">
        <f t="shared" si="22"/>
        <v>Pass</v>
      </c>
      <c r="X200" s="1" t="str">
        <f t="shared" si="23"/>
        <v>Unique</v>
      </c>
    </row>
    <row r="201" spans="1:24" ht="15" customHeight="1">
      <c r="A201" s="1" t="str">
        <f>'Raw Tickets'!$A$201</f>
        <v>T00200</v>
      </c>
      <c r="B201" s="4">
        <f>'Raw Tickets'!$B$201</f>
        <v>45948</v>
      </c>
      <c r="C201" s="1" t="str">
        <f>'Raw Tickets'!$C$201</f>
        <v>A020</v>
      </c>
      <c r="D201" s="1" t="str">
        <f>'Raw Tickets'!$D$201</f>
        <v>Email</v>
      </c>
      <c r="E201" s="1" t="str">
        <f>'Raw Tickets'!$E$201</f>
        <v>Payment Failure</v>
      </c>
      <c r="F201" s="1" t="str">
        <f>'Raw Tickets'!$F$201</f>
        <v>Low</v>
      </c>
      <c r="G201" s="1">
        <f>'Raw Tickets'!$G$201</f>
        <v>70</v>
      </c>
      <c r="H201" s="1">
        <f>'Raw Tickets'!$H$201</f>
        <v>6</v>
      </c>
      <c r="I201" s="1">
        <f>'Raw Tickets'!$I$201</f>
        <v>4</v>
      </c>
      <c r="J201" s="6">
        <f>'Raw Tickets'!$J$201</f>
        <v>89.1</v>
      </c>
      <c r="K201" s="1" t="str">
        <f>'Raw Tickets'!$K$201</f>
        <v>Closed</v>
      </c>
      <c r="L201" s="1" t="str">
        <f>'Raw Tickets'!$L$201</f>
        <v>No</v>
      </c>
      <c r="M201" s="1" t="str">
        <f>'Raw Tickets'!$M$201</f>
        <v>No</v>
      </c>
      <c r="N201" s="1" t="str">
        <f>IFERROR(VLOOKUP(C201,Agents!$A$2:$E$26,2,FALSE),"")</f>
        <v>Aditi Bansal</v>
      </c>
      <c r="O201" s="1" t="str">
        <f>IFERROR(INDEX(Agents!$D$2:$D$26,MATCH(C201,Agents!$A$2:$A$26,0)),"")</f>
        <v>Escalations</v>
      </c>
      <c r="P201" s="1" t="str">
        <f>IFERROR(VLOOKUP(C201,Agents!$A$2:$E$26,3,FALSE),"")</f>
        <v>Pallavi Rao</v>
      </c>
      <c r="Q201" s="1" t="str">
        <f>IFERROR(VLOOKUP(C201,Agents!$A$2:$E$26,5,FALSE),"")</f>
        <v>Noida</v>
      </c>
      <c r="R201" s="1">
        <f>IFERROR(VLOOKUP(F201,#REF!,2,FALSE),0)</f>
        <v>0</v>
      </c>
      <c r="S201" s="1" t="str">
        <f t="shared" si="18"/>
        <v>Breached</v>
      </c>
      <c r="T201" s="1" t="str">
        <f t="shared" si="19"/>
        <v>Within Target</v>
      </c>
      <c r="U201" s="1" t="str">
        <f t="shared" si="20"/>
        <v>2025-10</v>
      </c>
      <c r="V201" s="1" t="str">
        <f t="shared" si="21"/>
        <v>Good</v>
      </c>
      <c r="W201" s="1" t="str">
        <f t="shared" si="22"/>
        <v>Pass</v>
      </c>
      <c r="X201" s="1" t="str">
        <f t="shared" si="23"/>
        <v>Unique</v>
      </c>
    </row>
    <row r="202" spans="1:24" ht="15" customHeight="1">
      <c r="A202" s="1" t="str">
        <f>'Raw Tickets'!$A$202</f>
        <v>T00201</v>
      </c>
      <c r="B202" s="4">
        <f>'Raw Tickets'!$B$202</f>
        <v>45945</v>
      </c>
      <c r="C202" s="1" t="str">
        <f>'Raw Tickets'!$C$202</f>
        <v>A017</v>
      </c>
      <c r="D202" s="1" t="str">
        <f>'Raw Tickets'!$D$202</f>
        <v>Call</v>
      </c>
      <c r="E202" s="1" t="str">
        <f>'Raw Tickets'!$E$202</f>
        <v>Refund</v>
      </c>
      <c r="F202" s="1" t="str">
        <f>'Raw Tickets'!$F$202</f>
        <v>Low</v>
      </c>
      <c r="G202" s="1">
        <f>'Raw Tickets'!$G$202</f>
        <v>23.2</v>
      </c>
      <c r="H202" s="1">
        <f>'Raw Tickets'!$H$202</f>
        <v>62</v>
      </c>
      <c r="I202" s="1">
        <f>'Raw Tickets'!$I$202</f>
        <v>5</v>
      </c>
      <c r="J202" s="6">
        <f>'Raw Tickets'!$J$202</f>
        <v>80.900000000000006</v>
      </c>
      <c r="K202" s="1" t="str">
        <f>'Raw Tickets'!$K$202</f>
        <v>Open</v>
      </c>
      <c r="L202" s="1" t="str">
        <f>'Raw Tickets'!$L$202</f>
        <v>No</v>
      </c>
      <c r="M202" s="1" t="str">
        <f>'Raw Tickets'!$M$202</f>
        <v>No</v>
      </c>
      <c r="N202" s="1" t="str">
        <f>IFERROR(VLOOKUP(C202,Agents!$A$2:$E$26,2,FALSE),"")</f>
        <v>Varun Mehta</v>
      </c>
      <c r="O202" s="1" t="str">
        <f>IFERROR(INDEX(Agents!$D$2:$D$26,MATCH(C202,Agents!$A$2:$A$26,0)),"")</f>
        <v>Escalations</v>
      </c>
      <c r="P202" s="1" t="str">
        <f>IFERROR(VLOOKUP(C202,Agents!$A$2:$E$26,3,FALSE),"")</f>
        <v>Pallavi Rao</v>
      </c>
      <c r="Q202" s="1" t="str">
        <f>IFERROR(VLOOKUP(C202,Agents!$A$2:$E$26,5,FALSE),"")</f>
        <v>Gurugram</v>
      </c>
      <c r="R202" s="1">
        <f>IFERROR(VLOOKUP(F202,#REF!,2,FALSE),0)</f>
        <v>0</v>
      </c>
      <c r="S202" s="1" t="str">
        <f t="shared" si="18"/>
        <v>Breached</v>
      </c>
      <c r="T202" s="1" t="str">
        <f t="shared" si="19"/>
        <v>Late</v>
      </c>
      <c r="U202" s="1" t="str">
        <f t="shared" si="20"/>
        <v>2025-10</v>
      </c>
      <c r="V202" s="1" t="str">
        <f t="shared" si="21"/>
        <v>Good</v>
      </c>
      <c r="W202" s="1" t="str">
        <f t="shared" si="22"/>
        <v>Needs Coaching</v>
      </c>
      <c r="X202" s="1" t="str">
        <f t="shared" si="23"/>
        <v>Unique</v>
      </c>
    </row>
    <row r="203" spans="1:24" ht="15" customHeight="1">
      <c r="A203" s="1" t="str">
        <f>'Raw Tickets'!$A$203</f>
        <v>T00202</v>
      </c>
      <c r="B203" s="4">
        <f>'Raw Tickets'!$B$203</f>
        <v>46015</v>
      </c>
      <c r="C203" s="1" t="str">
        <f>'Raw Tickets'!$C$203</f>
        <v>A010</v>
      </c>
      <c r="D203" s="1" t="str">
        <f>'Raw Tickets'!$D$203</f>
        <v>Chat</v>
      </c>
      <c r="E203" s="1" t="str">
        <f>'Raw Tickets'!$E$203</f>
        <v>Delivery Delay</v>
      </c>
      <c r="F203" s="1" t="str">
        <f>'Raw Tickets'!$F$203</f>
        <v>Medium</v>
      </c>
      <c r="G203" s="1">
        <f>'Raw Tickets'!$G$203</f>
        <v>39.9</v>
      </c>
      <c r="H203" s="1">
        <f>'Raw Tickets'!$H$203</f>
        <v>50</v>
      </c>
      <c r="I203" s="1">
        <f>'Raw Tickets'!$I$203</f>
        <v>4</v>
      </c>
      <c r="J203" s="6">
        <f>'Raw Tickets'!$J$203</f>
        <v>100</v>
      </c>
      <c r="K203" s="1" t="str">
        <f>'Raw Tickets'!$K$203</f>
        <v>Closed</v>
      </c>
      <c r="L203" s="1" t="str">
        <f>'Raw Tickets'!$L$203</f>
        <v>No</v>
      </c>
      <c r="M203" s="1" t="str">
        <f>'Raw Tickets'!$M$203</f>
        <v>No</v>
      </c>
      <c r="N203" s="1" t="str">
        <f>IFERROR(VLOOKUP(C203,Agents!$A$2:$E$26,2,FALSE),"")</f>
        <v>Ananya Gupta</v>
      </c>
      <c r="O203" s="1" t="str">
        <f>IFERROR(INDEX(Agents!$D$2:$D$26,MATCH(C203,Agents!$A$2:$A$26,0)),"")</f>
        <v>Voice Support</v>
      </c>
      <c r="P203" s="1" t="str">
        <f>IFERROR(VLOOKUP(C203,Agents!$A$2:$E$26,3,FALSE),"")</f>
        <v>Kritika Shah</v>
      </c>
      <c r="Q203" s="1" t="str">
        <f>IFERROR(VLOOKUP(C203,Agents!$A$2:$E$26,5,FALSE),"")</f>
        <v>Gurugram</v>
      </c>
      <c r="R203" s="1">
        <f>IFERROR(VLOOKUP(F203,#REF!,2,FALSE),0)</f>
        <v>0</v>
      </c>
      <c r="S203" s="1" t="str">
        <f t="shared" si="18"/>
        <v>Breached</v>
      </c>
      <c r="T203" s="1" t="str">
        <f t="shared" si="19"/>
        <v>Late</v>
      </c>
      <c r="U203" s="1" t="str">
        <f t="shared" si="20"/>
        <v>2025-12</v>
      </c>
      <c r="V203" s="1" t="str">
        <f t="shared" si="21"/>
        <v>Good</v>
      </c>
      <c r="W203" s="1" t="str">
        <f t="shared" si="22"/>
        <v>Pass</v>
      </c>
      <c r="X203" s="1" t="str">
        <f t="shared" si="23"/>
        <v>Unique</v>
      </c>
    </row>
    <row r="204" spans="1:24" ht="15" customHeight="1">
      <c r="A204" s="1" t="str">
        <f>'Raw Tickets'!$A$204</f>
        <v>T00203</v>
      </c>
      <c r="B204" s="4">
        <f>'Raw Tickets'!$B$204</f>
        <v>45797</v>
      </c>
      <c r="C204" s="1" t="str">
        <f>'Raw Tickets'!$C$204</f>
        <v>A008</v>
      </c>
      <c r="D204" s="1" t="str">
        <f>'Raw Tickets'!$D$204</f>
        <v>Call</v>
      </c>
      <c r="E204" s="1" t="str">
        <f>'Raw Tickets'!$E$204</f>
        <v>Order Cancellation</v>
      </c>
      <c r="F204" s="1" t="str">
        <f>'Raw Tickets'!$F$204</f>
        <v>Low</v>
      </c>
      <c r="G204" s="1">
        <f>'Raw Tickets'!$G$204</f>
        <v>21.7</v>
      </c>
      <c r="H204" s="1">
        <f>'Raw Tickets'!$H$204</f>
        <v>22</v>
      </c>
      <c r="I204" s="1">
        <f>'Raw Tickets'!$I$204</f>
        <v>5</v>
      </c>
      <c r="J204" s="6">
        <f>'Raw Tickets'!$J$204</f>
        <v>81.3</v>
      </c>
      <c r="K204" s="1" t="str">
        <f>'Raw Tickets'!$K$204</f>
        <v>Closed</v>
      </c>
      <c r="L204" s="1" t="str">
        <f>'Raw Tickets'!$L$204</f>
        <v>No</v>
      </c>
      <c r="M204" s="1" t="str">
        <f>'Raw Tickets'!$M$204</f>
        <v>No</v>
      </c>
      <c r="N204" s="1" t="str">
        <f>IFERROR(VLOOKUP(C204,Agents!$A$2:$E$26,2,FALSE),"")</f>
        <v>Ananya Mishra</v>
      </c>
      <c r="O204" s="1" t="str">
        <f>IFERROR(INDEX(Agents!$D$2:$D$26,MATCH(C204,Agents!$A$2:$A$26,0)),"")</f>
        <v>Voice Support</v>
      </c>
      <c r="P204" s="1" t="str">
        <f>IFERROR(VLOOKUP(C204,Agents!$A$2:$E$26,3,FALSE),"")</f>
        <v>Kritika Shah</v>
      </c>
      <c r="Q204" s="1" t="str">
        <f>IFERROR(VLOOKUP(C204,Agents!$A$2:$E$26,5,FALSE),"")</f>
        <v>Hyderabad</v>
      </c>
      <c r="R204" s="1">
        <f>IFERROR(VLOOKUP(F204,#REF!,2,FALSE),0)</f>
        <v>0</v>
      </c>
      <c r="S204" s="1" t="str">
        <f t="shared" si="18"/>
        <v>Breached</v>
      </c>
      <c r="T204" s="1" t="str">
        <f t="shared" si="19"/>
        <v>Within Target</v>
      </c>
      <c r="U204" s="1" t="str">
        <f t="shared" si="20"/>
        <v>2025-05</v>
      </c>
      <c r="V204" s="1" t="str">
        <f t="shared" si="21"/>
        <v>Good</v>
      </c>
      <c r="W204" s="1" t="str">
        <f t="shared" si="22"/>
        <v>Needs Coaching</v>
      </c>
      <c r="X204" s="1" t="str">
        <f t="shared" si="23"/>
        <v>Unique</v>
      </c>
    </row>
    <row r="205" spans="1:24" ht="15" customHeight="1">
      <c r="A205" s="1" t="str">
        <f>'Raw Tickets'!$A$205</f>
        <v>T00204</v>
      </c>
      <c r="B205" s="4">
        <f>'Raw Tickets'!$B$205</f>
        <v>45910</v>
      </c>
      <c r="C205" s="1" t="str">
        <f>'Raw Tickets'!$C$205</f>
        <v>A024</v>
      </c>
      <c r="D205" s="1" t="str">
        <f>'Raw Tickets'!$D$205</f>
        <v>Email</v>
      </c>
      <c r="E205" s="1" t="str">
        <f>'Raw Tickets'!$E$205</f>
        <v>Product Quality</v>
      </c>
      <c r="F205" s="1" t="str">
        <f>'Raw Tickets'!$F$205</f>
        <v>Medium</v>
      </c>
      <c r="G205" s="1">
        <f>'Raw Tickets'!$G$205</f>
        <v>20.9</v>
      </c>
      <c r="H205" s="1">
        <f>'Raw Tickets'!$H$205</f>
        <v>12</v>
      </c>
      <c r="I205" s="1">
        <f>'Raw Tickets'!$I$205</f>
        <v>5</v>
      </c>
      <c r="J205" s="6">
        <f>'Raw Tickets'!$J$205</f>
        <v>92.9</v>
      </c>
      <c r="K205" s="1" t="str">
        <f>'Raw Tickets'!$K$205</f>
        <v>Closed</v>
      </c>
      <c r="L205" s="1" t="str">
        <f>'Raw Tickets'!$L$205</f>
        <v>No</v>
      </c>
      <c r="M205" s="1" t="str">
        <f>'Raw Tickets'!$M$205</f>
        <v>No</v>
      </c>
      <c r="N205" s="1" t="str">
        <f>IFERROR(VLOOKUP(C205,Agents!$A$2:$E$26,2,FALSE),"")</f>
        <v>Rohan Verma</v>
      </c>
      <c r="O205" s="1" t="str">
        <f>IFERROR(INDEX(Agents!$D$2:$D$26,MATCH(C205,Agents!$A$2:$A$26,0)),"")</f>
        <v>Seller Support</v>
      </c>
      <c r="P205" s="1" t="str">
        <f>IFERROR(VLOOKUP(C205,Agents!$A$2:$E$26,3,FALSE),"")</f>
        <v>Vivek Jain</v>
      </c>
      <c r="Q205" s="1" t="str">
        <f>IFERROR(VLOOKUP(C205,Agents!$A$2:$E$26,5,FALSE),"")</f>
        <v>Noida</v>
      </c>
      <c r="R205" s="1">
        <f>IFERROR(VLOOKUP(F205,#REF!,2,FALSE),0)</f>
        <v>0</v>
      </c>
      <c r="S205" s="1" t="str">
        <f t="shared" si="18"/>
        <v>Breached</v>
      </c>
      <c r="T205" s="1" t="str">
        <f t="shared" si="19"/>
        <v>Within Target</v>
      </c>
      <c r="U205" s="1" t="str">
        <f t="shared" si="20"/>
        <v>2025-09</v>
      </c>
      <c r="V205" s="1" t="str">
        <f t="shared" si="21"/>
        <v>Good</v>
      </c>
      <c r="W205" s="1" t="str">
        <f t="shared" si="22"/>
        <v>Pass</v>
      </c>
      <c r="X205" s="1" t="str">
        <f t="shared" si="23"/>
        <v>Unique</v>
      </c>
    </row>
    <row r="206" spans="1:24" ht="15" customHeight="1">
      <c r="A206" s="1" t="str">
        <f>'Raw Tickets'!$A$206</f>
        <v>T00205</v>
      </c>
      <c r="B206" s="4">
        <f>'Raw Tickets'!$B$206</f>
        <v>45790</v>
      </c>
      <c r="C206" s="1" t="str">
        <f>'Raw Tickets'!$C$206</f>
        <v>A003</v>
      </c>
      <c r="D206" s="1" t="str">
        <f>'Raw Tickets'!$D$206</f>
        <v>Chat</v>
      </c>
      <c r="E206" s="1" t="str">
        <f>'Raw Tickets'!$E$206</f>
        <v>Order Cancellation</v>
      </c>
      <c r="F206" s="1" t="str">
        <f>'Raw Tickets'!$F$206</f>
        <v>Low</v>
      </c>
      <c r="G206" s="1">
        <f>'Raw Tickets'!$G$206</f>
        <v>31.1</v>
      </c>
      <c r="H206" s="1">
        <f>'Raw Tickets'!$H$206</f>
        <v>41</v>
      </c>
      <c r="I206" s="1">
        <f>'Raw Tickets'!$I$206</f>
        <v>4</v>
      </c>
      <c r="J206" s="6">
        <f>'Raw Tickets'!$J$206</f>
        <v>74</v>
      </c>
      <c r="K206" s="1" t="str">
        <f>'Raw Tickets'!$K$206</f>
        <v>Closed</v>
      </c>
      <c r="L206" s="1" t="str">
        <f>'Raw Tickets'!$L$206</f>
        <v>No</v>
      </c>
      <c r="M206" s="1" t="str">
        <f>'Raw Tickets'!$M$206</f>
        <v>No</v>
      </c>
      <c r="N206" s="1" t="str">
        <f>IFERROR(VLOOKUP(C206,Agents!$A$2:$E$26,2,FALSE),"")</f>
        <v>Kabir Verma</v>
      </c>
      <c r="O206" s="1" t="str">
        <f>IFERROR(INDEX(Agents!$D$2:$D$26,MATCH(C206,Agents!$A$2:$A$26,0)),"")</f>
        <v>Email Support</v>
      </c>
      <c r="P206" s="1" t="str">
        <f>IFERROR(VLOOKUP(C206,Agents!$A$2:$E$26,3,FALSE),"")</f>
        <v>Aman Verma</v>
      </c>
      <c r="Q206" s="1" t="str">
        <f>IFERROR(VLOOKUP(C206,Agents!$A$2:$E$26,5,FALSE),"")</f>
        <v>Gurugram</v>
      </c>
      <c r="R206" s="1">
        <f>IFERROR(VLOOKUP(F206,#REF!,2,FALSE),0)</f>
        <v>0</v>
      </c>
      <c r="S206" s="1" t="str">
        <f t="shared" si="18"/>
        <v>Breached</v>
      </c>
      <c r="T206" s="1" t="str">
        <f t="shared" si="19"/>
        <v>Late</v>
      </c>
      <c r="U206" s="1" t="str">
        <f t="shared" si="20"/>
        <v>2025-05</v>
      </c>
      <c r="V206" s="1" t="str">
        <f t="shared" si="21"/>
        <v>Good</v>
      </c>
      <c r="W206" s="1" t="str">
        <f t="shared" si="22"/>
        <v>Needs Coaching</v>
      </c>
      <c r="X206" s="1" t="str">
        <f t="shared" si="23"/>
        <v>Unique</v>
      </c>
    </row>
    <row r="207" spans="1:24" ht="15" customHeight="1">
      <c r="A207" s="1" t="str">
        <f>'Raw Tickets'!$A$207</f>
        <v>T00206</v>
      </c>
      <c r="B207" s="4">
        <f>'Raw Tickets'!$B$207</f>
        <v>45719</v>
      </c>
      <c r="C207" s="1" t="str">
        <f>'Raw Tickets'!$C$207</f>
        <v>A010</v>
      </c>
      <c r="D207" s="1" t="str">
        <f>'Raw Tickets'!$D$207</f>
        <v>Call</v>
      </c>
      <c r="E207" s="1" t="str">
        <f>'Raw Tickets'!$E$207</f>
        <v>Delivery Delay</v>
      </c>
      <c r="F207" s="1" t="str">
        <f>'Raw Tickets'!$F$207</f>
        <v>Low</v>
      </c>
      <c r="G207" s="1">
        <f>'Raw Tickets'!$G$207</f>
        <v>78.099999999999994</v>
      </c>
      <c r="H207" s="1">
        <f>'Raw Tickets'!$H$207</f>
        <v>45</v>
      </c>
      <c r="I207" s="1">
        <f>'Raw Tickets'!$I$207</f>
        <v>4</v>
      </c>
      <c r="J207" s="6">
        <f>'Raw Tickets'!$J$207</f>
        <v>89.8</v>
      </c>
      <c r="K207" s="1" t="str">
        <f>'Raw Tickets'!$K$207</f>
        <v>Closed</v>
      </c>
      <c r="L207" s="1" t="str">
        <f>'Raw Tickets'!$L$207</f>
        <v>No</v>
      </c>
      <c r="M207" s="1" t="str">
        <f>'Raw Tickets'!$M$207</f>
        <v>No</v>
      </c>
      <c r="N207" s="1" t="str">
        <f>IFERROR(VLOOKUP(C207,Agents!$A$2:$E$26,2,FALSE),"")</f>
        <v>Ananya Gupta</v>
      </c>
      <c r="O207" s="1" t="str">
        <f>IFERROR(INDEX(Agents!$D$2:$D$26,MATCH(C207,Agents!$A$2:$A$26,0)),"")</f>
        <v>Voice Support</v>
      </c>
      <c r="P207" s="1" t="str">
        <f>IFERROR(VLOOKUP(C207,Agents!$A$2:$E$26,3,FALSE),"")</f>
        <v>Kritika Shah</v>
      </c>
      <c r="Q207" s="1" t="str">
        <f>IFERROR(VLOOKUP(C207,Agents!$A$2:$E$26,5,FALSE),"")</f>
        <v>Gurugram</v>
      </c>
      <c r="R207" s="1">
        <f>IFERROR(VLOOKUP(F207,#REF!,2,FALSE),0)</f>
        <v>0</v>
      </c>
      <c r="S207" s="1" t="str">
        <f t="shared" si="18"/>
        <v>Breached</v>
      </c>
      <c r="T207" s="1" t="str">
        <f t="shared" si="19"/>
        <v>Late</v>
      </c>
      <c r="U207" s="1" t="str">
        <f t="shared" si="20"/>
        <v>2025-03</v>
      </c>
      <c r="V207" s="1" t="str">
        <f t="shared" si="21"/>
        <v>Good</v>
      </c>
      <c r="W207" s="1" t="str">
        <f t="shared" si="22"/>
        <v>Pass</v>
      </c>
      <c r="X207" s="1" t="str">
        <f t="shared" si="23"/>
        <v>Unique</v>
      </c>
    </row>
    <row r="208" spans="1:24" ht="15" customHeight="1">
      <c r="A208" s="1" t="str">
        <f>'Raw Tickets'!$A$208</f>
        <v>T00207</v>
      </c>
      <c r="B208" s="4">
        <f>'Raw Tickets'!$B$208</f>
        <v>45746</v>
      </c>
      <c r="C208" s="1" t="str">
        <f>'Raw Tickets'!$C$208</f>
        <v>A003</v>
      </c>
      <c r="D208" s="1" t="str">
        <f>'Raw Tickets'!$D$208</f>
        <v>Email</v>
      </c>
      <c r="E208" s="1" t="str">
        <f>'Raw Tickets'!$E$208</f>
        <v>Delivery Delay</v>
      </c>
      <c r="F208" s="1" t="str">
        <f>'Raw Tickets'!$F$208</f>
        <v>Low</v>
      </c>
      <c r="G208" s="1">
        <f>'Raw Tickets'!$G$208</f>
        <v>58.1</v>
      </c>
      <c r="H208" s="1">
        <f>'Raw Tickets'!$H$208</f>
        <v>29</v>
      </c>
      <c r="I208" s="1">
        <f>'Raw Tickets'!$I$208</f>
        <v>4</v>
      </c>
      <c r="J208" s="6">
        <f>'Raw Tickets'!$J$208</f>
        <v>82.5</v>
      </c>
      <c r="K208" s="1" t="str">
        <f>'Raw Tickets'!$K$208</f>
        <v>Closed</v>
      </c>
      <c r="L208" s="1" t="str">
        <f>'Raw Tickets'!$L$208</f>
        <v>No</v>
      </c>
      <c r="M208" s="1" t="str">
        <f>'Raw Tickets'!$M$208</f>
        <v>No</v>
      </c>
      <c r="N208" s="1" t="str">
        <f>IFERROR(VLOOKUP(C208,Agents!$A$2:$E$26,2,FALSE),"")</f>
        <v>Kabir Verma</v>
      </c>
      <c r="O208" s="1" t="str">
        <f>IFERROR(INDEX(Agents!$D$2:$D$26,MATCH(C208,Agents!$A$2:$A$26,0)),"")</f>
        <v>Email Support</v>
      </c>
      <c r="P208" s="1" t="str">
        <f>IFERROR(VLOOKUP(C208,Agents!$A$2:$E$26,3,FALSE),"")</f>
        <v>Aman Verma</v>
      </c>
      <c r="Q208" s="1" t="str">
        <f>IFERROR(VLOOKUP(C208,Agents!$A$2:$E$26,5,FALSE),"")</f>
        <v>Gurugram</v>
      </c>
      <c r="R208" s="1">
        <f>IFERROR(VLOOKUP(F208,#REF!,2,FALSE),0)</f>
        <v>0</v>
      </c>
      <c r="S208" s="1" t="str">
        <f t="shared" si="18"/>
        <v>Breached</v>
      </c>
      <c r="T208" s="1" t="str">
        <f t="shared" si="19"/>
        <v>Within Target</v>
      </c>
      <c r="U208" s="1" t="str">
        <f t="shared" si="20"/>
        <v>2025-03</v>
      </c>
      <c r="V208" s="1" t="str">
        <f t="shared" si="21"/>
        <v>Good</v>
      </c>
      <c r="W208" s="1" t="str">
        <f t="shared" si="22"/>
        <v>Needs Coaching</v>
      </c>
      <c r="X208" s="1" t="str">
        <f t="shared" si="23"/>
        <v>Unique</v>
      </c>
    </row>
    <row r="209" spans="1:24" ht="15" customHeight="1">
      <c r="A209" s="1" t="str">
        <f>'Raw Tickets'!$A$209</f>
        <v>T00208</v>
      </c>
      <c r="B209" s="4">
        <f>'Raw Tickets'!$B$209</f>
        <v>45728</v>
      </c>
      <c r="C209" s="1" t="str">
        <f>'Raw Tickets'!$C$209</f>
        <v>A005</v>
      </c>
      <c r="D209" s="1" t="str">
        <f>'Raw Tickets'!$D$209</f>
        <v>Chat</v>
      </c>
      <c r="E209" s="1" t="str">
        <f>'Raw Tickets'!$E$209</f>
        <v>Product Quality</v>
      </c>
      <c r="F209" s="1" t="str">
        <f>'Raw Tickets'!$F$209</f>
        <v>Low</v>
      </c>
      <c r="G209" s="1">
        <f>'Raw Tickets'!$G$209</f>
        <v>59.8</v>
      </c>
      <c r="H209" s="1">
        <f>'Raw Tickets'!$H$209</f>
        <v>20</v>
      </c>
      <c r="I209" s="1">
        <f>'Raw Tickets'!$I$209</f>
        <v>1</v>
      </c>
      <c r="J209" s="6">
        <f>'Raw Tickets'!$J$209</f>
        <v>89.4</v>
      </c>
      <c r="K209" s="1" t="str">
        <f>'Raw Tickets'!$K$209</f>
        <v>Closed</v>
      </c>
      <c r="L209" s="1" t="str">
        <f>'Raw Tickets'!$L$209</f>
        <v>No</v>
      </c>
      <c r="M209" s="1" t="str">
        <f>'Raw Tickets'!$M$209</f>
        <v>No</v>
      </c>
      <c r="N209" s="1" t="str">
        <f>IFERROR(VLOOKUP(C209,Agents!$A$2:$E$26,2,FALSE),"")</f>
        <v>Aditi Verma</v>
      </c>
      <c r="O209" s="1" t="str">
        <f>IFERROR(INDEX(Agents!$D$2:$D$26,MATCH(C209,Agents!$A$2:$A$26,0)),"")</f>
        <v>Email Support</v>
      </c>
      <c r="P209" s="1" t="str">
        <f>IFERROR(VLOOKUP(C209,Agents!$A$2:$E$26,3,FALSE),"")</f>
        <v>Aman Verma</v>
      </c>
      <c r="Q209" s="1" t="str">
        <f>IFERROR(VLOOKUP(C209,Agents!$A$2:$E$26,5,FALSE),"")</f>
        <v>Gurugram</v>
      </c>
      <c r="R209" s="1">
        <f>IFERROR(VLOOKUP(F209,#REF!,2,FALSE),0)</f>
        <v>0</v>
      </c>
      <c r="S209" s="1" t="str">
        <f t="shared" si="18"/>
        <v>Breached</v>
      </c>
      <c r="T209" s="1" t="str">
        <f t="shared" si="19"/>
        <v>Within Target</v>
      </c>
      <c r="U209" s="1" t="str">
        <f t="shared" si="20"/>
        <v>2025-03</v>
      </c>
      <c r="V209" s="1" t="str">
        <f t="shared" si="21"/>
        <v>Poor</v>
      </c>
      <c r="W209" s="1" t="str">
        <f t="shared" si="22"/>
        <v>Pass</v>
      </c>
      <c r="X209" s="1" t="str">
        <f t="shared" si="23"/>
        <v>Unique</v>
      </c>
    </row>
    <row r="210" spans="1:24" ht="15" customHeight="1">
      <c r="A210" s="1" t="str">
        <f>'Raw Tickets'!$A$210</f>
        <v>T00209</v>
      </c>
      <c r="B210" s="4">
        <f>'Raw Tickets'!$B$210</f>
        <v>45756</v>
      </c>
      <c r="C210" s="1" t="str">
        <f>'Raw Tickets'!$C$210</f>
        <v>A013</v>
      </c>
      <c r="D210" s="1" t="str">
        <f>'Raw Tickets'!$D$210</f>
        <v>Call</v>
      </c>
      <c r="E210" s="1" t="str">
        <f>'Raw Tickets'!$E$210</f>
        <v>Account Issue</v>
      </c>
      <c r="F210" s="1" t="str">
        <f>'Raw Tickets'!$F$210</f>
        <v>High</v>
      </c>
      <c r="G210" s="1">
        <f>'Raw Tickets'!$G$210</f>
        <v>9.6999999999999993</v>
      </c>
      <c r="H210" s="1">
        <f>'Raw Tickets'!$H$210</f>
        <v>35</v>
      </c>
      <c r="I210" s="1">
        <f>'Raw Tickets'!$I$210</f>
        <v>4</v>
      </c>
      <c r="J210" s="6">
        <f>'Raw Tickets'!$J$210</f>
        <v>81.599999999999994</v>
      </c>
      <c r="K210" s="1" t="str">
        <f>'Raw Tickets'!$K$210</f>
        <v>Open</v>
      </c>
      <c r="L210" s="1" t="str">
        <f>'Raw Tickets'!$L$210</f>
        <v>No</v>
      </c>
      <c r="M210" s="1" t="str">
        <f>'Raw Tickets'!$M$210</f>
        <v>Yes</v>
      </c>
      <c r="N210" s="1" t="str">
        <f>IFERROR(VLOOKUP(C210,Agents!$A$2:$E$26,2,FALSE),"")</f>
        <v>Ananya Jain</v>
      </c>
      <c r="O210" s="1" t="str">
        <f>IFERROR(INDEX(Agents!$D$2:$D$26,MATCH(C210,Agents!$A$2:$A$26,0)),"")</f>
        <v>Chat Support</v>
      </c>
      <c r="P210" s="1" t="str">
        <f>IFERROR(VLOOKUP(C210,Agents!$A$2:$E$26,3,FALSE),"")</f>
        <v>Nitin Gupta</v>
      </c>
      <c r="Q210" s="1" t="str">
        <f>IFERROR(VLOOKUP(C210,Agents!$A$2:$E$26,5,FALSE),"")</f>
        <v>Hyderabad</v>
      </c>
      <c r="R210" s="1">
        <f>IFERROR(VLOOKUP(F210,#REF!,2,FALSE),0)</f>
        <v>0</v>
      </c>
      <c r="S210" s="1" t="str">
        <f t="shared" si="18"/>
        <v>Breached</v>
      </c>
      <c r="T210" s="1" t="str">
        <f t="shared" si="19"/>
        <v>Late</v>
      </c>
      <c r="U210" s="1" t="str">
        <f t="shared" si="20"/>
        <v>2025-04</v>
      </c>
      <c r="V210" s="1" t="str">
        <f t="shared" si="21"/>
        <v>Good</v>
      </c>
      <c r="W210" s="1" t="str">
        <f t="shared" si="22"/>
        <v>Needs Coaching</v>
      </c>
      <c r="X210" s="1" t="str">
        <f t="shared" si="23"/>
        <v>Unique</v>
      </c>
    </row>
    <row r="211" spans="1:24" ht="15" customHeight="1">
      <c r="A211" s="1" t="str">
        <f>'Raw Tickets'!$A$211</f>
        <v>T00210</v>
      </c>
      <c r="B211" s="4">
        <f>'Raw Tickets'!$B$211</f>
        <v>45746</v>
      </c>
      <c r="C211" s="1" t="str">
        <f>'Raw Tickets'!$C$211</f>
        <v>A019</v>
      </c>
      <c r="D211" s="1" t="str">
        <f>'Raw Tickets'!$D$211</f>
        <v>Call</v>
      </c>
      <c r="E211" s="1" t="str">
        <f>'Raw Tickets'!$E$211</f>
        <v>Product Quality</v>
      </c>
      <c r="F211" s="1" t="str">
        <f>'Raw Tickets'!$F$211</f>
        <v>High</v>
      </c>
      <c r="G211" s="1">
        <f>'Raw Tickets'!$G$211</f>
        <v>8.9</v>
      </c>
      <c r="H211" s="1">
        <f>'Raw Tickets'!$H$211</f>
        <v>5</v>
      </c>
      <c r="I211" s="1">
        <f>'Raw Tickets'!$I$211</f>
        <v>4</v>
      </c>
      <c r="J211" s="6">
        <f>'Raw Tickets'!$J$211</f>
        <v>88</v>
      </c>
      <c r="K211" s="1" t="str">
        <f>'Raw Tickets'!$K$211</f>
        <v>Closed</v>
      </c>
      <c r="L211" s="1" t="str">
        <f>'Raw Tickets'!$L$211</f>
        <v>No</v>
      </c>
      <c r="M211" s="1" t="str">
        <f>'Raw Tickets'!$M$211</f>
        <v>Yes</v>
      </c>
      <c r="N211" s="1" t="str">
        <f>IFERROR(VLOOKUP(C211,Agents!$A$2:$E$26,2,FALSE),"")</f>
        <v>Sneha Joshi</v>
      </c>
      <c r="O211" s="1" t="str">
        <f>IFERROR(INDEX(Agents!$D$2:$D$26,MATCH(C211,Agents!$A$2:$A$26,0)),"")</f>
        <v>Escalations</v>
      </c>
      <c r="P211" s="1" t="str">
        <f>IFERROR(VLOOKUP(C211,Agents!$A$2:$E$26,3,FALSE),"")</f>
        <v>Pallavi Rao</v>
      </c>
      <c r="Q211" s="1" t="str">
        <f>IFERROR(VLOOKUP(C211,Agents!$A$2:$E$26,5,FALSE),"")</f>
        <v>Hyderabad</v>
      </c>
      <c r="R211" s="1">
        <f>IFERROR(VLOOKUP(F211,#REF!,2,FALSE),0)</f>
        <v>0</v>
      </c>
      <c r="S211" s="1" t="str">
        <f t="shared" si="18"/>
        <v>Breached</v>
      </c>
      <c r="T211" s="1" t="str">
        <f t="shared" si="19"/>
        <v>Within Target</v>
      </c>
      <c r="U211" s="1" t="str">
        <f t="shared" si="20"/>
        <v>2025-03</v>
      </c>
      <c r="V211" s="1" t="str">
        <f t="shared" si="21"/>
        <v>Good</v>
      </c>
      <c r="W211" s="1" t="str">
        <f t="shared" si="22"/>
        <v>Pass</v>
      </c>
      <c r="X211" s="1" t="str">
        <f t="shared" si="23"/>
        <v>Unique</v>
      </c>
    </row>
    <row r="212" spans="1:24" ht="15" customHeight="1">
      <c r="A212" s="1" t="str">
        <f>'Raw Tickets'!$A$212</f>
        <v>T00211</v>
      </c>
      <c r="B212" s="4">
        <f>'Raw Tickets'!$B$212</f>
        <v>45664</v>
      </c>
      <c r="C212" s="1" t="str">
        <f>'Raw Tickets'!$C$212</f>
        <v>A025</v>
      </c>
      <c r="D212" s="1" t="str">
        <f>'Raw Tickets'!$D$212</f>
        <v>Email</v>
      </c>
      <c r="E212" s="1" t="str">
        <f>'Raw Tickets'!$E$212</f>
        <v>Account Issue</v>
      </c>
      <c r="F212" s="1" t="str">
        <f>'Raw Tickets'!$F$212</f>
        <v>Low</v>
      </c>
      <c r="G212" s="1">
        <f>'Raw Tickets'!$G$212</f>
        <v>27.1</v>
      </c>
      <c r="H212" s="1">
        <f>'Raw Tickets'!$H$212</f>
        <v>2</v>
      </c>
      <c r="I212" s="1">
        <f>'Raw Tickets'!$I$212</f>
        <v>5</v>
      </c>
      <c r="J212" s="6">
        <f>'Raw Tickets'!$J$212</f>
        <v>85.5</v>
      </c>
      <c r="K212" s="1" t="str">
        <f>'Raw Tickets'!$K$212</f>
        <v>Closed</v>
      </c>
      <c r="L212" s="1" t="str">
        <f>'Raw Tickets'!$L$212</f>
        <v>No</v>
      </c>
      <c r="M212" s="1" t="str">
        <f>'Raw Tickets'!$M$212</f>
        <v>No</v>
      </c>
      <c r="N212" s="1" t="str">
        <f>IFERROR(VLOOKUP(C212,Agents!$A$2:$E$26,2,FALSE),"")</f>
        <v>Arjun Nair</v>
      </c>
      <c r="O212" s="1" t="str">
        <f>IFERROR(INDEX(Agents!$D$2:$D$26,MATCH(C212,Agents!$A$2:$A$26,0)),"")</f>
        <v>Seller Support</v>
      </c>
      <c r="P212" s="1" t="str">
        <f>IFERROR(VLOOKUP(C212,Agents!$A$2:$E$26,3,FALSE),"")</f>
        <v>Vivek Jain</v>
      </c>
      <c r="Q212" s="1" t="str">
        <f>IFERROR(VLOOKUP(C212,Agents!$A$2:$E$26,5,FALSE),"")</f>
        <v>Noida</v>
      </c>
      <c r="R212" s="1">
        <f>IFERROR(VLOOKUP(F212,#REF!,2,FALSE),0)</f>
        <v>0</v>
      </c>
      <c r="S212" s="1" t="str">
        <f t="shared" si="18"/>
        <v>Breached</v>
      </c>
      <c r="T212" s="1" t="str">
        <f t="shared" si="19"/>
        <v>Within Target</v>
      </c>
      <c r="U212" s="1" t="str">
        <f t="shared" si="20"/>
        <v>2025-01</v>
      </c>
      <c r="V212" s="1" t="str">
        <f t="shared" si="21"/>
        <v>Good</v>
      </c>
      <c r="W212" s="1" t="str">
        <f t="shared" si="22"/>
        <v>Pass</v>
      </c>
      <c r="X212" s="1" t="str">
        <f t="shared" si="23"/>
        <v>Unique</v>
      </c>
    </row>
    <row r="213" spans="1:24" ht="15" customHeight="1">
      <c r="A213" s="1" t="str">
        <f>'Raw Tickets'!$A$213</f>
        <v>T00212</v>
      </c>
      <c r="B213" s="4">
        <f>'Raw Tickets'!$B$213</f>
        <v>45804</v>
      </c>
      <c r="C213" s="1" t="str">
        <f>'Raw Tickets'!$C$213</f>
        <v>A019</v>
      </c>
      <c r="D213" s="1" t="str">
        <f>'Raw Tickets'!$D$213</f>
        <v>Email</v>
      </c>
      <c r="E213" s="1" t="str">
        <f>'Raw Tickets'!$E$213</f>
        <v>Account Issue</v>
      </c>
      <c r="F213" s="1" t="str">
        <f>'Raw Tickets'!$F$213</f>
        <v>Low</v>
      </c>
      <c r="G213" s="1">
        <f>'Raw Tickets'!$G$213</f>
        <v>55.2</v>
      </c>
      <c r="H213" s="1">
        <f>'Raw Tickets'!$H$213</f>
        <v>18</v>
      </c>
      <c r="I213" s="1">
        <f>'Raw Tickets'!$I$213</f>
        <v>5</v>
      </c>
      <c r="J213" s="6">
        <f>'Raw Tickets'!$J$213</f>
        <v>96.9</v>
      </c>
      <c r="K213" s="1" t="str">
        <f>'Raw Tickets'!$K$213</f>
        <v>Closed</v>
      </c>
      <c r="L213" s="1" t="str">
        <f>'Raw Tickets'!$L$213</f>
        <v>No</v>
      </c>
      <c r="M213" s="1" t="str">
        <f>'Raw Tickets'!$M$213</f>
        <v>No</v>
      </c>
      <c r="N213" s="1" t="str">
        <f>IFERROR(VLOOKUP(C213,Agents!$A$2:$E$26,2,FALSE),"")</f>
        <v>Sneha Joshi</v>
      </c>
      <c r="O213" s="1" t="str">
        <f>IFERROR(INDEX(Agents!$D$2:$D$26,MATCH(C213,Agents!$A$2:$A$26,0)),"")</f>
        <v>Escalations</v>
      </c>
      <c r="P213" s="1" t="str">
        <f>IFERROR(VLOOKUP(C213,Agents!$A$2:$E$26,3,FALSE),"")</f>
        <v>Pallavi Rao</v>
      </c>
      <c r="Q213" s="1" t="str">
        <f>IFERROR(VLOOKUP(C213,Agents!$A$2:$E$26,5,FALSE),"")</f>
        <v>Hyderabad</v>
      </c>
      <c r="R213" s="1">
        <f>IFERROR(VLOOKUP(F213,#REF!,2,FALSE),0)</f>
        <v>0</v>
      </c>
      <c r="S213" s="1" t="str">
        <f t="shared" si="18"/>
        <v>Breached</v>
      </c>
      <c r="T213" s="1" t="str">
        <f t="shared" si="19"/>
        <v>Within Target</v>
      </c>
      <c r="U213" s="1" t="str">
        <f t="shared" si="20"/>
        <v>2025-05</v>
      </c>
      <c r="V213" s="1" t="str">
        <f t="shared" si="21"/>
        <v>Good</v>
      </c>
      <c r="W213" s="1" t="str">
        <f t="shared" si="22"/>
        <v>Pass</v>
      </c>
      <c r="X213" s="1" t="str">
        <f t="shared" si="23"/>
        <v>Unique</v>
      </c>
    </row>
    <row r="214" spans="1:24" ht="15" customHeight="1">
      <c r="A214" s="1" t="str">
        <f>'Raw Tickets'!$A$214</f>
        <v>T00213</v>
      </c>
      <c r="B214" s="4">
        <f>'Raw Tickets'!$B$214</f>
        <v>45711</v>
      </c>
      <c r="C214" s="1" t="str">
        <f>'Raw Tickets'!$C$214</f>
        <v>A011</v>
      </c>
      <c r="D214" s="1" t="str">
        <f>'Raw Tickets'!$D$214</f>
        <v>Chat</v>
      </c>
      <c r="E214" s="1" t="str">
        <f>'Raw Tickets'!$E$214</f>
        <v>Account Issue</v>
      </c>
      <c r="F214" s="1" t="str">
        <f>'Raw Tickets'!$F$214</f>
        <v>Low</v>
      </c>
      <c r="G214" s="1">
        <f>'Raw Tickets'!$G$214</f>
        <v>53.3</v>
      </c>
      <c r="H214" s="1">
        <f>'Raw Tickets'!$H$214</f>
        <v>58</v>
      </c>
      <c r="I214" s="1">
        <f>'Raw Tickets'!$I$214</f>
        <v>5</v>
      </c>
      <c r="J214" s="6">
        <f>'Raw Tickets'!$J$214</f>
        <v>93.6</v>
      </c>
      <c r="K214" s="1" t="str">
        <f>'Raw Tickets'!$K$214</f>
        <v>Closed</v>
      </c>
      <c r="L214" s="1" t="str">
        <f>'Raw Tickets'!$L$214</f>
        <v>No</v>
      </c>
      <c r="M214" s="1" t="str">
        <f>'Raw Tickets'!$M$214</f>
        <v>No</v>
      </c>
      <c r="N214" s="1" t="str">
        <f>IFERROR(VLOOKUP(C214,Agents!$A$2:$E$26,2,FALSE),"")</f>
        <v>Shreya Singh</v>
      </c>
      <c r="O214" s="1" t="str">
        <f>IFERROR(INDEX(Agents!$D$2:$D$26,MATCH(C214,Agents!$A$2:$A$26,0)),"")</f>
        <v>Chat Support</v>
      </c>
      <c r="P214" s="1" t="str">
        <f>IFERROR(VLOOKUP(C214,Agents!$A$2:$E$26,3,FALSE),"")</f>
        <v>Nitin Gupta</v>
      </c>
      <c r="Q214" s="1" t="str">
        <f>IFERROR(VLOOKUP(C214,Agents!$A$2:$E$26,5,FALSE),"")</f>
        <v>Noida</v>
      </c>
      <c r="R214" s="1">
        <f>IFERROR(VLOOKUP(F214,#REF!,2,FALSE),0)</f>
        <v>0</v>
      </c>
      <c r="S214" s="1" t="str">
        <f t="shared" si="18"/>
        <v>Breached</v>
      </c>
      <c r="T214" s="1" t="str">
        <f t="shared" si="19"/>
        <v>Late</v>
      </c>
      <c r="U214" s="1" t="str">
        <f t="shared" si="20"/>
        <v>2025-02</v>
      </c>
      <c r="V214" s="1" t="str">
        <f t="shared" si="21"/>
        <v>Good</v>
      </c>
      <c r="W214" s="1" t="str">
        <f t="shared" si="22"/>
        <v>Pass</v>
      </c>
      <c r="X214" s="1" t="str">
        <f t="shared" si="23"/>
        <v>Unique</v>
      </c>
    </row>
    <row r="215" spans="1:24" ht="15" customHeight="1">
      <c r="A215" s="1" t="str">
        <f>'Raw Tickets'!$A$215</f>
        <v>T00214</v>
      </c>
      <c r="B215" s="4">
        <f>'Raw Tickets'!$B$215</f>
        <v>46000</v>
      </c>
      <c r="C215" s="1" t="str">
        <f>'Raw Tickets'!$C$215</f>
        <v>A016</v>
      </c>
      <c r="D215" s="1" t="str">
        <f>'Raw Tickets'!$D$215</f>
        <v>Email</v>
      </c>
      <c r="E215" s="1" t="str">
        <f>'Raw Tickets'!$E$215</f>
        <v>Product Quality</v>
      </c>
      <c r="F215" s="1" t="str">
        <f>'Raw Tickets'!$F$215</f>
        <v>Medium</v>
      </c>
      <c r="G215" s="1">
        <f>'Raw Tickets'!$G$215</f>
        <v>11.4</v>
      </c>
      <c r="H215" s="1">
        <f>'Raw Tickets'!$H$215</f>
        <v>45</v>
      </c>
      <c r="I215" s="1">
        <f>'Raw Tickets'!$I$215</f>
        <v>4</v>
      </c>
      <c r="J215" s="6">
        <f>'Raw Tickets'!$J$215</f>
        <v>85.8</v>
      </c>
      <c r="K215" s="1" t="str">
        <f>'Raw Tickets'!$K$215</f>
        <v>Closed</v>
      </c>
      <c r="L215" s="1" t="str">
        <f>'Raw Tickets'!$L$215</f>
        <v>No</v>
      </c>
      <c r="M215" s="1" t="str">
        <f>'Raw Tickets'!$M$215</f>
        <v>No</v>
      </c>
      <c r="N215" s="1" t="str">
        <f>IFERROR(VLOOKUP(C215,Agents!$A$2:$E$26,2,FALSE),"")</f>
        <v>Pooja Bansal</v>
      </c>
      <c r="O215" s="1" t="str">
        <f>IFERROR(INDEX(Agents!$D$2:$D$26,MATCH(C215,Agents!$A$2:$A$26,0)),"")</f>
        <v>Escalations</v>
      </c>
      <c r="P215" s="1" t="str">
        <f>IFERROR(VLOOKUP(C215,Agents!$A$2:$E$26,3,FALSE),"")</f>
        <v>Pallavi Rao</v>
      </c>
      <c r="Q215" s="1" t="str">
        <f>IFERROR(VLOOKUP(C215,Agents!$A$2:$E$26,5,FALSE),"")</f>
        <v>Hyderabad</v>
      </c>
      <c r="R215" s="1">
        <f>IFERROR(VLOOKUP(F215,#REF!,2,FALSE),0)</f>
        <v>0</v>
      </c>
      <c r="S215" s="1" t="str">
        <f t="shared" si="18"/>
        <v>Breached</v>
      </c>
      <c r="T215" s="1" t="str">
        <f t="shared" si="19"/>
        <v>Late</v>
      </c>
      <c r="U215" s="1" t="str">
        <f t="shared" si="20"/>
        <v>2025-12</v>
      </c>
      <c r="V215" s="1" t="str">
        <f t="shared" si="21"/>
        <v>Good</v>
      </c>
      <c r="W215" s="1" t="str">
        <f t="shared" si="22"/>
        <v>Pass</v>
      </c>
      <c r="X215" s="1" t="str">
        <f t="shared" si="23"/>
        <v>Unique</v>
      </c>
    </row>
    <row r="216" spans="1:24" ht="15" customHeight="1">
      <c r="A216" s="1" t="str">
        <f>'Raw Tickets'!$A$216</f>
        <v>T00215</v>
      </c>
      <c r="B216" s="4">
        <f>'Raw Tickets'!$B$216</f>
        <v>45844</v>
      </c>
      <c r="C216" s="1" t="str">
        <f>'Raw Tickets'!$C$216</f>
        <v>A003</v>
      </c>
      <c r="D216" s="1" t="str">
        <f>'Raw Tickets'!$D$216</f>
        <v>Call</v>
      </c>
      <c r="E216" s="1" t="str">
        <f>'Raw Tickets'!$E$216</f>
        <v>Refund</v>
      </c>
      <c r="F216" s="1" t="str">
        <f>'Raw Tickets'!$F$216</f>
        <v>Low</v>
      </c>
      <c r="G216" s="1">
        <f>'Raw Tickets'!$G$216</f>
        <v>20</v>
      </c>
      <c r="H216" s="1">
        <f>'Raw Tickets'!$H$216</f>
        <v>47</v>
      </c>
      <c r="I216" s="1">
        <f>'Raw Tickets'!$I$216</f>
        <v>4</v>
      </c>
      <c r="J216" s="6">
        <f>'Raw Tickets'!$J$216</f>
        <v>88</v>
      </c>
      <c r="K216" s="1" t="str">
        <f>'Raw Tickets'!$K$216</f>
        <v>Closed</v>
      </c>
      <c r="L216" s="1" t="str">
        <f>'Raw Tickets'!$L$216</f>
        <v>No</v>
      </c>
      <c r="M216" s="1" t="str">
        <f>'Raw Tickets'!$M$216</f>
        <v>No</v>
      </c>
      <c r="N216" s="1" t="str">
        <f>IFERROR(VLOOKUP(C216,Agents!$A$2:$E$26,2,FALSE),"")</f>
        <v>Kabir Verma</v>
      </c>
      <c r="O216" s="1" t="str">
        <f>IFERROR(INDEX(Agents!$D$2:$D$26,MATCH(C216,Agents!$A$2:$A$26,0)),"")</f>
        <v>Email Support</v>
      </c>
      <c r="P216" s="1" t="str">
        <f>IFERROR(VLOOKUP(C216,Agents!$A$2:$E$26,3,FALSE),"")</f>
        <v>Aman Verma</v>
      </c>
      <c r="Q216" s="1" t="str">
        <f>IFERROR(VLOOKUP(C216,Agents!$A$2:$E$26,5,FALSE),"")</f>
        <v>Gurugram</v>
      </c>
      <c r="R216" s="1">
        <f>IFERROR(VLOOKUP(F216,#REF!,2,FALSE),0)</f>
        <v>0</v>
      </c>
      <c r="S216" s="1" t="str">
        <f t="shared" si="18"/>
        <v>Breached</v>
      </c>
      <c r="T216" s="1" t="str">
        <f t="shared" si="19"/>
        <v>Late</v>
      </c>
      <c r="U216" s="1" t="str">
        <f t="shared" si="20"/>
        <v>2025-07</v>
      </c>
      <c r="V216" s="1" t="str">
        <f t="shared" si="21"/>
        <v>Good</v>
      </c>
      <c r="W216" s="1" t="str">
        <f t="shared" si="22"/>
        <v>Pass</v>
      </c>
      <c r="X216" s="1" t="str">
        <f t="shared" si="23"/>
        <v>Unique</v>
      </c>
    </row>
    <row r="217" spans="1:24" ht="15" customHeight="1">
      <c r="A217" s="1" t="str">
        <f>'Raw Tickets'!$A$217</f>
        <v>T00216</v>
      </c>
      <c r="B217" s="4">
        <f>'Raw Tickets'!$B$217</f>
        <v>45899</v>
      </c>
      <c r="C217" s="1" t="str">
        <f>'Raw Tickets'!$C$217</f>
        <v>A023</v>
      </c>
      <c r="D217" s="1" t="str">
        <f>'Raw Tickets'!$D$217</f>
        <v>Chat</v>
      </c>
      <c r="E217" s="1" t="str">
        <f>'Raw Tickets'!$E$217</f>
        <v>Delivery Delay</v>
      </c>
      <c r="F217" s="1" t="str">
        <f>'Raw Tickets'!$F$217</f>
        <v>Low</v>
      </c>
      <c r="G217" s="1">
        <f>'Raw Tickets'!$G$217</f>
        <v>39.4</v>
      </c>
      <c r="H217" s="1">
        <f>'Raw Tickets'!$H$217</f>
        <v>52</v>
      </c>
      <c r="I217" s="1">
        <f>'Raw Tickets'!$I$217</f>
        <v>4</v>
      </c>
      <c r="J217" s="6">
        <f>'Raw Tickets'!$J$217</f>
        <v>100</v>
      </c>
      <c r="K217" s="1" t="str">
        <f>'Raw Tickets'!$K$217</f>
        <v>Closed</v>
      </c>
      <c r="L217" s="1" t="str">
        <f>'Raw Tickets'!$L$217</f>
        <v>No</v>
      </c>
      <c r="M217" s="1" t="str">
        <f>'Raw Tickets'!$M$217</f>
        <v>No</v>
      </c>
      <c r="N217" s="1" t="str">
        <f>IFERROR(VLOOKUP(C217,Agents!$A$2:$E$26,2,FALSE),"")</f>
        <v>Ishita Verma</v>
      </c>
      <c r="O217" s="1" t="str">
        <f>IFERROR(INDEX(Agents!$D$2:$D$26,MATCH(C217,Agents!$A$2:$A$26,0)),"")</f>
        <v>Seller Support</v>
      </c>
      <c r="P217" s="1" t="str">
        <f>IFERROR(VLOOKUP(C217,Agents!$A$2:$E$26,3,FALSE),"")</f>
        <v>Vivek Jain</v>
      </c>
      <c r="Q217" s="1" t="str">
        <f>IFERROR(VLOOKUP(C217,Agents!$A$2:$E$26,5,FALSE),"")</f>
        <v>Noida</v>
      </c>
      <c r="R217" s="1">
        <f>IFERROR(VLOOKUP(F217,#REF!,2,FALSE),0)</f>
        <v>0</v>
      </c>
      <c r="S217" s="1" t="str">
        <f t="shared" si="18"/>
        <v>Breached</v>
      </c>
      <c r="T217" s="1" t="str">
        <f t="shared" si="19"/>
        <v>Late</v>
      </c>
      <c r="U217" s="1" t="str">
        <f t="shared" si="20"/>
        <v>2025-08</v>
      </c>
      <c r="V217" s="1" t="str">
        <f t="shared" si="21"/>
        <v>Good</v>
      </c>
      <c r="W217" s="1" t="str">
        <f t="shared" si="22"/>
        <v>Pass</v>
      </c>
      <c r="X217" s="1" t="str">
        <f t="shared" si="23"/>
        <v>Unique</v>
      </c>
    </row>
    <row r="218" spans="1:24" ht="15" customHeight="1">
      <c r="A218" s="1" t="str">
        <f>'Raw Tickets'!$A$218</f>
        <v>T00217</v>
      </c>
      <c r="B218" s="4">
        <f>'Raw Tickets'!$B$218</f>
        <v>45919</v>
      </c>
      <c r="C218" s="1" t="str">
        <f>'Raw Tickets'!$C$218</f>
        <v>A004</v>
      </c>
      <c r="D218" s="1" t="str">
        <f>'Raw Tickets'!$D$218</f>
        <v>Email</v>
      </c>
      <c r="E218" s="1" t="str">
        <f>'Raw Tickets'!$E$218</f>
        <v>Payment Failure</v>
      </c>
      <c r="F218" s="1" t="str">
        <f>'Raw Tickets'!$F$218</f>
        <v>Low</v>
      </c>
      <c r="G218" s="1">
        <f>'Raw Tickets'!$G$218</f>
        <v>42.2</v>
      </c>
      <c r="H218" s="1">
        <f>'Raw Tickets'!$H$218</f>
        <v>35</v>
      </c>
      <c r="I218" s="1">
        <f>'Raw Tickets'!$I$218</f>
        <v>4</v>
      </c>
      <c r="J218" s="6">
        <f>'Raw Tickets'!$J$218</f>
        <v>84.7</v>
      </c>
      <c r="K218" s="1" t="str">
        <f>'Raw Tickets'!$K$218</f>
        <v>Closed</v>
      </c>
      <c r="L218" s="1" t="str">
        <f>'Raw Tickets'!$L$218</f>
        <v>No</v>
      </c>
      <c r="M218" s="1" t="str">
        <f>'Raw Tickets'!$M$218</f>
        <v>No</v>
      </c>
      <c r="N218" s="1" t="str">
        <f>IFERROR(VLOOKUP(C218,Agents!$A$2:$E$26,2,FALSE),"")</f>
        <v>Arjun Agarwal</v>
      </c>
      <c r="O218" s="1" t="str">
        <f>IFERROR(INDEX(Agents!$D$2:$D$26,MATCH(C218,Agents!$A$2:$A$26,0)),"")</f>
        <v>Email Support</v>
      </c>
      <c r="P218" s="1" t="str">
        <f>IFERROR(VLOOKUP(C218,Agents!$A$2:$E$26,3,FALSE),"")</f>
        <v>Aman Verma</v>
      </c>
      <c r="Q218" s="1" t="str">
        <f>IFERROR(VLOOKUP(C218,Agents!$A$2:$E$26,5,FALSE),"")</f>
        <v>Bengaluru</v>
      </c>
      <c r="R218" s="1">
        <f>IFERROR(VLOOKUP(F218,#REF!,2,FALSE),0)</f>
        <v>0</v>
      </c>
      <c r="S218" s="1" t="str">
        <f t="shared" si="18"/>
        <v>Breached</v>
      </c>
      <c r="T218" s="1" t="str">
        <f t="shared" si="19"/>
        <v>Late</v>
      </c>
      <c r="U218" s="1" t="str">
        <f t="shared" si="20"/>
        <v>2025-09</v>
      </c>
      <c r="V218" s="1" t="str">
        <f t="shared" si="21"/>
        <v>Good</v>
      </c>
      <c r="W218" s="1" t="str">
        <f t="shared" si="22"/>
        <v>Needs Coaching</v>
      </c>
      <c r="X218" s="1" t="str">
        <f t="shared" si="23"/>
        <v>Unique</v>
      </c>
    </row>
    <row r="219" spans="1:24" ht="15" customHeight="1">
      <c r="A219" s="1" t="str">
        <f>'Raw Tickets'!$A$219</f>
        <v>T00218</v>
      </c>
      <c r="B219" s="4">
        <f>'Raw Tickets'!$B$219</f>
        <v>45702</v>
      </c>
      <c r="C219" s="1" t="str">
        <f>'Raw Tickets'!$C$219</f>
        <v>A023</v>
      </c>
      <c r="D219" s="1" t="str">
        <f>'Raw Tickets'!$D$219</f>
        <v>Email</v>
      </c>
      <c r="E219" s="1" t="str">
        <f>'Raw Tickets'!$E$219</f>
        <v>Product Quality</v>
      </c>
      <c r="F219" s="1" t="str">
        <f>'Raw Tickets'!$F$219</f>
        <v>Low</v>
      </c>
      <c r="G219" s="1">
        <f>'Raw Tickets'!$G$219</f>
        <v>32.4</v>
      </c>
      <c r="H219" s="1">
        <f>'Raw Tickets'!$H$219</f>
        <v>29</v>
      </c>
      <c r="I219" s="1">
        <f>'Raw Tickets'!$I$219</f>
        <v>1</v>
      </c>
      <c r="J219" s="6">
        <f>'Raw Tickets'!$J$219</f>
        <v>99.8</v>
      </c>
      <c r="K219" s="1" t="str">
        <f>'Raw Tickets'!$K$219</f>
        <v>Closed</v>
      </c>
      <c r="L219" s="1" t="str">
        <f>'Raw Tickets'!$L$219</f>
        <v>Yes</v>
      </c>
      <c r="M219" s="1" t="str">
        <f>'Raw Tickets'!$M$219</f>
        <v>No</v>
      </c>
      <c r="N219" s="1" t="str">
        <f>IFERROR(VLOOKUP(C219,Agents!$A$2:$E$26,2,FALSE),"")</f>
        <v>Ishita Verma</v>
      </c>
      <c r="O219" s="1" t="str">
        <f>IFERROR(INDEX(Agents!$D$2:$D$26,MATCH(C219,Agents!$A$2:$A$26,0)),"")</f>
        <v>Seller Support</v>
      </c>
      <c r="P219" s="1" t="str">
        <f>IFERROR(VLOOKUP(C219,Agents!$A$2:$E$26,3,FALSE),"")</f>
        <v>Vivek Jain</v>
      </c>
      <c r="Q219" s="1" t="str">
        <f>IFERROR(VLOOKUP(C219,Agents!$A$2:$E$26,5,FALSE),"")</f>
        <v>Noida</v>
      </c>
      <c r="R219" s="1">
        <f>IFERROR(VLOOKUP(F219,#REF!,2,FALSE),0)</f>
        <v>0</v>
      </c>
      <c r="S219" s="1" t="str">
        <f t="shared" si="18"/>
        <v>Breached</v>
      </c>
      <c r="T219" s="1" t="str">
        <f t="shared" si="19"/>
        <v>Within Target</v>
      </c>
      <c r="U219" s="1" t="str">
        <f t="shared" si="20"/>
        <v>2025-02</v>
      </c>
      <c r="V219" s="1" t="str">
        <f t="shared" si="21"/>
        <v>Poor</v>
      </c>
      <c r="W219" s="1" t="str">
        <f t="shared" si="22"/>
        <v>Pass</v>
      </c>
      <c r="X219" s="1" t="str">
        <f t="shared" si="23"/>
        <v>Unique</v>
      </c>
    </row>
    <row r="220" spans="1:24" ht="15" customHeight="1">
      <c r="A220" s="1" t="str">
        <f>'Raw Tickets'!$A$220</f>
        <v>T00219</v>
      </c>
      <c r="B220" s="4">
        <f>'Raw Tickets'!$B$220</f>
        <v>45961</v>
      </c>
      <c r="C220" s="1" t="str">
        <f>'Raw Tickets'!$C$220</f>
        <v>A021</v>
      </c>
      <c r="D220" s="1" t="str">
        <f>'Raw Tickets'!$D$220</f>
        <v>Email</v>
      </c>
      <c r="E220" s="1" t="str">
        <f>'Raw Tickets'!$E$220</f>
        <v>Order Cancellation</v>
      </c>
      <c r="F220" s="1" t="str">
        <f>'Raw Tickets'!$F$220</f>
        <v>Low</v>
      </c>
      <c r="G220" s="1">
        <f>'Raw Tickets'!$G$220</f>
        <v>16.2</v>
      </c>
      <c r="H220" s="1">
        <f>'Raw Tickets'!$H$220</f>
        <v>28</v>
      </c>
      <c r="I220" s="1">
        <f>'Raw Tickets'!$I$220</f>
        <v>3</v>
      </c>
      <c r="J220" s="6">
        <f>'Raw Tickets'!$J$220</f>
        <v>86.1</v>
      </c>
      <c r="K220" s="1" t="str">
        <f>'Raw Tickets'!$K$220</f>
        <v>Closed</v>
      </c>
      <c r="L220" s="1" t="str">
        <f>'Raw Tickets'!$L$220</f>
        <v>No</v>
      </c>
      <c r="M220" s="1" t="str">
        <f>'Raw Tickets'!$M$220</f>
        <v>No</v>
      </c>
      <c r="N220" s="1" t="str">
        <f>IFERROR(VLOOKUP(C220,Agents!$A$2:$E$26,2,FALSE),"")</f>
        <v>Nikhil Bansal</v>
      </c>
      <c r="O220" s="1" t="str">
        <f>IFERROR(INDEX(Agents!$D$2:$D$26,MATCH(C220,Agents!$A$2:$A$26,0)),"")</f>
        <v>Seller Support</v>
      </c>
      <c r="P220" s="1" t="str">
        <f>IFERROR(VLOOKUP(C220,Agents!$A$2:$E$26,3,FALSE),"")</f>
        <v>Vivek Jain</v>
      </c>
      <c r="Q220" s="1" t="str">
        <f>IFERROR(VLOOKUP(C220,Agents!$A$2:$E$26,5,FALSE),"")</f>
        <v>Bengaluru</v>
      </c>
      <c r="R220" s="1">
        <f>IFERROR(VLOOKUP(F220,#REF!,2,FALSE),0)</f>
        <v>0</v>
      </c>
      <c r="S220" s="1" t="str">
        <f t="shared" si="18"/>
        <v>Breached</v>
      </c>
      <c r="T220" s="1" t="str">
        <f t="shared" si="19"/>
        <v>Within Target</v>
      </c>
      <c r="U220" s="1" t="str">
        <f t="shared" si="20"/>
        <v>2025-10</v>
      </c>
      <c r="V220" s="1" t="str">
        <f t="shared" si="21"/>
        <v>Average</v>
      </c>
      <c r="W220" s="1" t="str">
        <f t="shared" si="22"/>
        <v>Pass</v>
      </c>
      <c r="X220" s="1" t="str">
        <f t="shared" si="23"/>
        <v>Unique</v>
      </c>
    </row>
    <row r="221" spans="1:24" ht="15" customHeight="1">
      <c r="A221" s="1" t="str">
        <f>'Raw Tickets'!$A$221</f>
        <v>T00220</v>
      </c>
      <c r="B221" s="4">
        <f>'Raw Tickets'!$B$221</f>
        <v>45743</v>
      </c>
      <c r="C221" s="1" t="str">
        <f>'Raw Tickets'!$C$221</f>
        <v>A014</v>
      </c>
      <c r="D221" s="1" t="str">
        <f>'Raw Tickets'!$D$221</f>
        <v>Call</v>
      </c>
      <c r="E221" s="1" t="str">
        <f>'Raw Tickets'!$E$221</f>
        <v>Delivery Delay</v>
      </c>
      <c r="F221" s="1" t="str">
        <f>'Raw Tickets'!$F$221</f>
        <v>Medium</v>
      </c>
      <c r="G221" s="1">
        <f>'Raw Tickets'!$G$221</f>
        <v>20</v>
      </c>
      <c r="H221" s="1">
        <f>'Raw Tickets'!$H$221</f>
        <v>65</v>
      </c>
      <c r="I221" s="1">
        <f>'Raw Tickets'!$I$221</f>
        <v>4</v>
      </c>
      <c r="J221" s="6">
        <f>'Raw Tickets'!$J$221</f>
        <v>81.8</v>
      </c>
      <c r="K221" s="1" t="str">
        <f>'Raw Tickets'!$K$221</f>
        <v>Closed</v>
      </c>
      <c r="L221" s="1" t="str">
        <f>'Raw Tickets'!$L$221</f>
        <v>No</v>
      </c>
      <c r="M221" s="1" t="str">
        <f>'Raw Tickets'!$M$221</f>
        <v>No</v>
      </c>
      <c r="N221" s="1" t="str">
        <f>IFERROR(VLOOKUP(C221,Agents!$A$2:$E$26,2,FALSE),"")</f>
        <v>Ananya Jain</v>
      </c>
      <c r="O221" s="1" t="str">
        <f>IFERROR(INDEX(Agents!$D$2:$D$26,MATCH(C221,Agents!$A$2:$A$26,0)),"")</f>
        <v>Chat Support</v>
      </c>
      <c r="P221" s="1" t="str">
        <f>IFERROR(VLOOKUP(C221,Agents!$A$2:$E$26,3,FALSE),"")</f>
        <v>Nitin Gupta</v>
      </c>
      <c r="Q221" s="1" t="str">
        <f>IFERROR(VLOOKUP(C221,Agents!$A$2:$E$26,5,FALSE),"")</f>
        <v>Bengaluru</v>
      </c>
      <c r="R221" s="1">
        <f>IFERROR(VLOOKUP(F221,#REF!,2,FALSE),0)</f>
        <v>0</v>
      </c>
      <c r="S221" s="1" t="str">
        <f t="shared" si="18"/>
        <v>Breached</v>
      </c>
      <c r="T221" s="1" t="str">
        <f t="shared" si="19"/>
        <v>Late</v>
      </c>
      <c r="U221" s="1" t="str">
        <f t="shared" si="20"/>
        <v>2025-03</v>
      </c>
      <c r="V221" s="1" t="str">
        <f t="shared" si="21"/>
        <v>Good</v>
      </c>
      <c r="W221" s="1" t="str">
        <f t="shared" si="22"/>
        <v>Needs Coaching</v>
      </c>
      <c r="X221" s="1" t="str">
        <f t="shared" si="23"/>
        <v>Unique</v>
      </c>
    </row>
    <row r="222" spans="1:24" ht="15" customHeight="1">
      <c r="A222" s="1" t="str">
        <f>'Raw Tickets'!$A$222</f>
        <v>T00221</v>
      </c>
      <c r="B222" s="4">
        <f>'Raw Tickets'!$B$222</f>
        <v>45812</v>
      </c>
      <c r="C222" s="1" t="str">
        <f>'Raw Tickets'!$C$222</f>
        <v>A011</v>
      </c>
      <c r="D222" s="1" t="str">
        <f>'Raw Tickets'!$D$222</f>
        <v>Chat</v>
      </c>
      <c r="E222" s="1" t="str">
        <f>'Raw Tickets'!$E$222</f>
        <v>Refund</v>
      </c>
      <c r="F222" s="1" t="str">
        <f>'Raw Tickets'!$F$222</f>
        <v>High</v>
      </c>
      <c r="G222" s="1">
        <f>'Raw Tickets'!$G$222</f>
        <v>1.7</v>
      </c>
      <c r="H222" s="1">
        <f>'Raw Tickets'!$H$222</f>
        <v>13</v>
      </c>
      <c r="I222" s="1">
        <f>'Raw Tickets'!$I$222</f>
        <v>4</v>
      </c>
      <c r="J222" s="6">
        <f>'Raw Tickets'!$J$222</f>
        <v>85.1</v>
      </c>
      <c r="K222" s="1" t="str">
        <f>'Raw Tickets'!$K$222</f>
        <v>Closed</v>
      </c>
      <c r="L222" s="1" t="str">
        <f>'Raw Tickets'!$L$222</f>
        <v>No</v>
      </c>
      <c r="M222" s="1" t="str">
        <f>'Raw Tickets'!$M$222</f>
        <v>No</v>
      </c>
      <c r="N222" s="1" t="str">
        <f>IFERROR(VLOOKUP(C222,Agents!$A$2:$E$26,2,FALSE),"")</f>
        <v>Shreya Singh</v>
      </c>
      <c r="O222" s="1" t="str">
        <f>IFERROR(INDEX(Agents!$D$2:$D$26,MATCH(C222,Agents!$A$2:$A$26,0)),"")</f>
        <v>Chat Support</v>
      </c>
      <c r="P222" s="1" t="str">
        <f>IFERROR(VLOOKUP(C222,Agents!$A$2:$E$26,3,FALSE),"")</f>
        <v>Nitin Gupta</v>
      </c>
      <c r="Q222" s="1" t="str">
        <f>IFERROR(VLOOKUP(C222,Agents!$A$2:$E$26,5,FALSE),"")</f>
        <v>Noida</v>
      </c>
      <c r="R222" s="1">
        <f>IFERROR(VLOOKUP(F222,#REF!,2,FALSE),0)</f>
        <v>0</v>
      </c>
      <c r="S222" s="1" t="str">
        <f t="shared" si="18"/>
        <v>Breached</v>
      </c>
      <c r="T222" s="1" t="str">
        <f t="shared" si="19"/>
        <v>Within Target</v>
      </c>
      <c r="U222" s="1" t="str">
        <f t="shared" si="20"/>
        <v>2025-06</v>
      </c>
      <c r="V222" s="1" t="str">
        <f t="shared" si="21"/>
        <v>Good</v>
      </c>
      <c r="W222" s="1" t="str">
        <f t="shared" si="22"/>
        <v>Pass</v>
      </c>
      <c r="X222" s="1" t="str">
        <f t="shared" si="23"/>
        <v>Unique</v>
      </c>
    </row>
    <row r="223" spans="1:24" ht="15" customHeight="1">
      <c r="A223" s="1" t="str">
        <f>'Raw Tickets'!$A$223</f>
        <v>T00222</v>
      </c>
      <c r="B223" s="4">
        <f>'Raw Tickets'!$B$223</f>
        <v>45686</v>
      </c>
      <c r="C223" s="1" t="str">
        <f>'Raw Tickets'!$C$223</f>
        <v>A016</v>
      </c>
      <c r="D223" s="1" t="str">
        <f>'Raw Tickets'!$D$223</f>
        <v>Email</v>
      </c>
      <c r="E223" s="1" t="str">
        <f>'Raw Tickets'!$E$223</f>
        <v>Product Quality</v>
      </c>
      <c r="F223" s="1" t="str">
        <f>'Raw Tickets'!$F$223</f>
        <v>Medium</v>
      </c>
      <c r="G223" s="1">
        <f>'Raw Tickets'!$G$223</f>
        <v>18.399999999999999</v>
      </c>
      <c r="H223" s="1">
        <f>'Raw Tickets'!$H$223</f>
        <v>64</v>
      </c>
      <c r="I223" s="1">
        <f>'Raw Tickets'!$I$223</f>
        <v>4</v>
      </c>
      <c r="J223" s="6">
        <f>'Raw Tickets'!$J$223</f>
        <v>79.8</v>
      </c>
      <c r="K223" s="1" t="str">
        <f>'Raw Tickets'!$K$223</f>
        <v>Closed</v>
      </c>
      <c r="L223" s="1" t="str">
        <f>'Raw Tickets'!$L$223</f>
        <v>No</v>
      </c>
      <c r="M223" s="1" t="str">
        <f>'Raw Tickets'!$M$223</f>
        <v>No</v>
      </c>
      <c r="N223" s="1" t="str">
        <f>IFERROR(VLOOKUP(C223,Agents!$A$2:$E$26,2,FALSE),"")</f>
        <v>Pooja Bansal</v>
      </c>
      <c r="O223" s="1" t="str">
        <f>IFERROR(INDEX(Agents!$D$2:$D$26,MATCH(C223,Agents!$A$2:$A$26,0)),"")</f>
        <v>Escalations</v>
      </c>
      <c r="P223" s="1" t="str">
        <f>IFERROR(VLOOKUP(C223,Agents!$A$2:$E$26,3,FALSE),"")</f>
        <v>Pallavi Rao</v>
      </c>
      <c r="Q223" s="1" t="str">
        <f>IFERROR(VLOOKUP(C223,Agents!$A$2:$E$26,5,FALSE),"")</f>
        <v>Hyderabad</v>
      </c>
      <c r="R223" s="1">
        <f>IFERROR(VLOOKUP(F223,#REF!,2,FALSE),0)</f>
        <v>0</v>
      </c>
      <c r="S223" s="1" t="str">
        <f t="shared" si="18"/>
        <v>Breached</v>
      </c>
      <c r="T223" s="1" t="str">
        <f t="shared" si="19"/>
        <v>Late</v>
      </c>
      <c r="U223" s="1" t="str">
        <f t="shared" si="20"/>
        <v>2025-01</v>
      </c>
      <c r="V223" s="1" t="str">
        <f t="shared" si="21"/>
        <v>Good</v>
      </c>
      <c r="W223" s="1" t="str">
        <f t="shared" si="22"/>
        <v>Needs Coaching</v>
      </c>
      <c r="X223" s="1" t="str">
        <f t="shared" si="23"/>
        <v>Unique</v>
      </c>
    </row>
    <row r="224" spans="1:24" ht="15" customHeight="1">
      <c r="A224" s="1" t="str">
        <f>'Raw Tickets'!$A$224</f>
        <v>T00223</v>
      </c>
      <c r="B224" s="4">
        <f>'Raw Tickets'!$B$224</f>
        <v>45906</v>
      </c>
      <c r="C224" s="1" t="str">
        <f>'Raw Tickets'!$C$224</f>
        <v>A001</v>
      </c>
      <c r="D224" s="1" t="str">
        <f>'Raw Tickets'!$D$224</f>
        <v>Chat</v>
      </c>
      <c r="E224" s="1" t="str">
        <f>'Raw Tickets'!$E$224</f>
        <v>Account Issue</v>
      </c>
      <c r="F224" s="1" t="str">
        <f>'Raw Tickets'!$F$224</f>
        <v>Low</v>
      </c>
      <c r="G224" s="1">
        <f>'Raw Tickets'!$G$224</f>
        <v>64.3</v>
      </c>
      <c r="H224" s="1">
        <f>'Raw Tickets'!$H$224</f>
        <v>20</v>
      </c>
      <c r="I224" s="1">
        <f>'Raw Tickets'!$I$224</f>
        <v>5</v>
      </c>
      <c r="J224" s="6">
        <f>'Raw Tickets'!$J$224</f>
        <v>72.3</v>
      </c>
      <c r="K224" s="1" t="str">
        <f>'Raw Tickets'!$K$224</f>
        <v>Closed</v>
      </c>
      <c r="L224" s="1" t="str">
        <f>'Raw Tickets'!$L$224</f>
        <v>No</v>
      </c>
      <c r="M224" s="1" t="str">
        <f>'Raw Tickets'!$M$224</f>
        <v>No</v>
      </c>
      <c r="N224" s="1" t="str">
        <f>IFERROR(VLOOKUP(C224,Agents!$A$2:$E$26,2,FALSE),"")</f>
        <v>Ishita Patel</v>
      </c>
      <c r="O224" s="1" t="str">
        <f>IFERROR(INDEX(Agents!$D$2:$D$26,MATCH(C224,Agents!$A$2:$A$26,0)),"")</f>
        <v>Email Support</v>
      </c>
      <c r="P224" s="1" t="str">
        <f>IFERROR(VLOOKUP(C224,Agents!$A$2:$E$26,3,FALSE),"")</f>
        <v>Aman Verma</v>
      </c>
      <c r="Q224" s="1" t="str">
        <f>IFERROR(VLOOKUP(C224,Agents!$A$2:$E$26,5,FALSE),"")</f>
        <v>Gurugram</v>
      </c>
      <c r="R224" s="1">
        <f>IFERROR(VLOOKUP(F224,#REF!,2,FALSE),0)</f>
        <v>0</v>
      </c>
      <c r="S224" s="1" t="str">
        <f t="shared" si="18"/>
        <v>Breached</v>
      </c>
      <c r="T224" s="1" t="str">
        <f t="shared" si="19"/>
        <v>Within Target</v>
      </c>
      <c r="U224" s="1" t="str">
        <f t="shared" si="20"/>
        <v>2025-09</v>
      </c>
      <c r="V224" s="1" t="str">
        <f t="shared" si="21"/>
        <v>Good</v>
      </c>
      <c r="W224" s="1" t="str">
        <f t="shared" si="22"/>
        <v>Needs Coaching</v>
      </c>
      <c r="X224" s="1" t="str">
        <f t="shared" si="23"/>
        <v>Unique</v>
      </c>
    </row>
    <row r="225" spans="1:24" ht="15" customHeight="1">
      <c r="A225" s="1" t="str">
        <f>'Raw Tickets'!$A$225</f>
        <v>T00224</v>
      </c>
      <c r="B225" s="4">
        <f>'Raw Tickets'!$B$225</f>
        <v>45820</v>
      </c>
      <c r="C225" s="1" t="str">
        <f>'Raw Tickets'!$C$225</f>
        <v>A009</v>
      </c>
      <c r="D225" s="1" t="str">
        <f>'Raw Tickets'!$D$225</f>
        <v>Chat</v>
      </c>
      <c r="E225" s="1" t="str">
        <f>'Raw Tickets'!$E$225</f>
        <v>Refund</v>
      </c>
      <c r="F225" s="1" t="str">
        <f>'Raw Tickets'!$F$225</f>
        <v>Medium</v>
      </c>
      <c r="G225" s="1">
        <f>'Raw Tickets'!$G$225</f>
        <v>3.9</v>
      </c>
      <c r="H225" s="1">
        <f>'Raw Tickets'!$H$225</f>
        <v>41</v>
      </c>
      <c r="I225" s="1">
        <f>'Raw Tickets'!$I$225</f>
        <v>5</v>
      </c>
      <c r="J225" s="6">
        <f>'Raw Tickets'!$J$225</f>
        <v>100</v>
      </c>
      <c r="K225" s="1" t="str">
        <f>'Raw Tickets'!$K$225</f>
        <v>Closed</v>
      </c>
      <c r="L225" s="1" t="str">
        <f>'Raw Tickets'!$L$225</f>
        <v>No</v>
      </c>
      <c r="M225" s="1" t="str">
        <f>'Raw Tickets'!$M$225</f>
        <v>No</v>
      </c>
      <c r="N225" s="1" t="str">
        <f>IFERROR(VLOOKUP(C225,Agents!$A$2:$E$26,2,FALSE),"")</f>
        <v>Divya Mehta</v>
      </c>
      <c r="O225" s="1" t="str">
        <f>IFERROR(INDEX(Agents!$D$2:$D$26,MATCH(C225,Agents!$A$2:$A$26,0)),"")</f>
        <v>Voice Support</v>
      </c>
      <c r="P225" s="1" t="str">
        <f>IFERROR(VLOOKUP(C225,Agents!$A$2:$E$26,3,FALSE),"")</f>
        <v>Kritika Shah</v>
      </c>
      <c r="Q225" s="1" t="str">
        <f>IFERROR(VLOOKUP(C225,Agents!$A$2:$E$26,5,FALSE),"")</f>
        <v>Gurugram</v>
      </c>
      <c r="R225" s="1">
        <f>IFERROR(VLOOKUP(F225,#REF!,2,FALSE),0)</f>
        <v>0</v>
      </c>
      <c r="S225" s="1" t="str">
        <f t="shared" si="18"/>
        <v>Breached</v>
      </c>
      <c r="T225" s="1" t="str">
        <f t="shared" si="19"/>
        <v>Late</v>
      </c>
      <c r="U225" s="1" t="str">
        <f t="shared" si="20"/>
        <v>2025-06</v>
      </c>
      <c r="V225" s="1" t="str">
        <f t="shared" si="21"/>
        <v>Good</v>
      </c>
      <c r="W225" s="1" t="str">
        <f t="shared" si="22"/>
        <v>Pass</v>
      </c>
      <c r="X225" s="1" t="str">
        <f t="shared" si="23"/>
        <v>Unique</v>
      </c>
    </row>
    <row r="226" spans="1:24" ht="15" customHeight="1">
      <c r="A226" s="1" t="str">
        <f>'Raw Tickets'!$A$226</f>
        <v>T00225</v>
      </c>
      <c r="B226" s="4">
        <f>'Raw Tickets'!$B$226</f>
        <v>45949</v>
      </c>
      <c r="C226" s="1" t="str">
        <f>'Raw Tickets'!$C$226</f>
        <v>A003</v>
      </c>
      <c r="D226" s="1" t="str">
        <f>'Raw Tickets'!$D$226</f>
        <v>Email</v>
      </c>
      <c r="E226" s="1" t="str">
        <f>'Raw Tickets'!$E$226</f>
        <v>Refund</v>
      </c>
      <c r="F226" s="1" t="str">
        <f>'Raw Tickets'!$F$226</f>
        <v>High</v>
      </c>
      <c r="G226" s="1">
        <f>'Raw Tickets'!$G$226</f>
        <v>13.7</v>
      </c>
      <c r="H226" s="1">
        <f>'Raw Tickets'!$H$226</f>
        <v>43</v>
      </c>
      <c r="I226" s="1">
        <f>'Raw Tickets'!$I$226</f>
        <v>4</v>
      </c>
      <c r="J226" s="6">
        <f>'Raw Tickets'!$J$226</f>
        <v>89.9</v>
      </c>
      <c r="K226" s="1" t="str">
        <f>'Raw Tickets'!$K$226</f>
        <v>Closed</v>
      </c>
      <c r="L226" s="1" t="str">
        <f>'Raw Tickets'!$L$226</f>
        <v>No</v>
      </c>
      <c r="M226" s="1" t="str">
        <f>'Raw Tickets'!$M$226</f>
        <v>No</v>
      </c>
      <c r="N226" s="1" t="str">
        <f>IFERROR(VLOOKUP(C226,Agents!$A$2:$E$26,2,FALSE),"")</f>
        <v>Kabir Verma</v>
      </c>
      <c r="O226" s="1" t="str">
        <f>IFERROR(INDEX(Agents!$D$2:$D$26,MATCH(C226,Agents!$A$2:$A$26,0)),"")</f>
        <v>Email Support</v>
      </c>
      <c r="P226" s="1" t="str">
        <f>IFERROR(VLOOKUP(C226,Agents!$A$2:$E$26,3,FALSE),"")</f>
        <v>Aman Verma</v>
      </c>
      <c r="Q226" s="1" t="str">
        <f>IFERROR(VLOOKUP(C226,Agents!$A$2:$E$26,5,FALSE),"")</f>
        <v>Gurugram</v>
      </c>
      <c r="R226" s="1">
        <f>IFERROR(VLOOKUP(F226,#REF!,2,FALSE),0)</f>
        <v>0</v>
      </c>
      <c r="S226" s="1" t="str">
        <f t="shared" si="18"/>
        <v>Breached</v>
      </c>
      <c r="T226" s="1" t="str">
        <f t="shared" si="19"/>
        <v>Late</v>
      </c>
      <c r="U226" s="1" t="str">
        <f t="shared" si="20"/>
        <v>2025-10</v>
      </c>
      <c r="V226" s="1" t="str">
        <f t="shared" si="21"/>
        <v>Good</v>
      </c>
      <c r="W226" s="1" t="str">
        <f t="shared" si="22"/>
        <v>Pass</v>
      </c>
      <c r="X226" s="1" t="str">
        <f t="shared" si="23"/>
        <v>Unique</v>
      </c>
    </row>
    <row r="227" spans="1:24" ht="15" customHeight="1">
      <c r="A227" s="1" t="str">
        <f>'Raw Tickets'!$A$227</f>
        <v>T00226</v>
      </c>
      <c r="B227" s="4">
        <f>'Raw Tickets'!$B$227</f>
        <v>46012</v>
      </c>
      <c r="C227" s="1" t="str">
        <f>'Raw Tickets'!$C$227</f>
        <v>A003</v>
      </c>
      <c r="D227" s="1" t="str">
        <f>'Raw Tickets'!$D$227</f>
        <v>Chat</v>
      </c>
      <c r="E227" s="1" t="str">
        <f>'Raw Tickets'!$E$227</f>
        <v>Refund</v>
      </c>
      <c r="F227" s="1" t="str">
        <f>'Raw Tickets'!$F$227</f>
        <v>High</v>
      </c>
      <c r="G227" s="1">
        <f>'Raw Tickets'!$G$227</f>
        <v>17.8</v>
      </c>
      <c r="H227" s="1">
        <f>'Raw Tickets'!$H$227</f>
        <v>47</v>
      </c>
      <c r="I227" s="1">
        <f>'Raw Tickets'!$I$227</f>
        <v>2</v>
      </c>
      <c r="J227" s="6">
        <f>'Raw Tickets'!$J$227</f>
        <v>95.5</v>
      </c>
      <c r="K227" s="1" t="str">
        <f>'Raw Tickets'!$K$227</f>
        <v>Closed</v>
      </c>
      <c r="L227" s="1" t="str">
        <f>'Raw Tickets'!$L$227</f>
        <v>No</v>
      </c>
      <c r="M227" s="1" t="str">
        <f>'Raw Tickets'!$M$227</f>
        <v>No</v>
      </c>
      <c r="N227" s="1" t="str">
        <f>IFERROR(VLOOKUP(C227,Agents!$A$2:$E$26,2,FALSE),"")</f>
        <v>Kabir Verma</v>
      </c>
      <c r="O227" s="1" t="str">
        <f>IFERROR(INDEX(Agents!$D$2:$D$26,MATCH(C227,Agents!$A$2:$A$26,0)),"")</f>
        <v>Email Support</v>
      </c>
      <c r="P227" s="1" t="str">
        <f>IFERROR(VLOOKUP(C227,Agents!$A$2:$E$26,3,FALSE),"")</f>
        <v>Aman Verma</v>
      </c>
      <c r="Q227" s="1" t="str">
        <f>IFERROR(VLOOKUP(C227,Agents!$A$2:$E$26,5,FALSE),"")</f>
        <v>Gurugram</v>
      </c>
      <c r="R227" s="1">
        <f>IFERROR(VLOOKUP(F227,#REF!,2,FALSE),0)</f>
        <v>0</v>
      </c>
      <c r="S227" s="1" t="str">
        <f t="shared" si="18"/>
        <v>Breached</v>
      </c>
      <c r="T227" s="1" t="str">
        <f t="shared" si="19"/>
        <v>Late</v>
      </c>
      <c r="U227" s="1" t="str">
        <f t="shared" si="20"/>
        <v>2025-12</v>
      </c>
      <c r="V227" s="1" t="str">
        <f t="shared" si="21"/>
        <v>Poor</v>
      </c>
      <c r="W227" s="1" t="str">
        <f t="shared" si="22"/>
        <v>Pass</v>
      </c>
      <c r="X227" s="1" t="str">
        <f t="shared" si="23"/>
        <v>Unique</v>
      </c>
    </row>
    <row r="228" spans="1:24" ht="15" customHeight="1">
      <c r="A228" s="1" t="str">
        <f>'Raw Tickets'!$A$228</f>
        <v>T00227</v>
      </c>
      <c r="B228" s="4">
        <f>'Raw Tickets'!$B$228</f>
        <v>45881</v>
      </c>
      <c r="C228" s="1" t="str">
        <f>'Raw Tickets'!$C$228</f>
        <v>A017</v>
      </c>
      <c r="D228" s="1" t="str">
        <f>'Raw Tickets'!$D$228</f>
        <v>Chat</v>
      </c>
      <c r="E228" s="1" t="str">
        <f>'Raw Tickets'!$E$228</f>
        <v>Refund</v>
      </c>
      <c r="F228" s="1" t="str">
        <f>'Raw Tickets'!$F$228</f>
        <v>Low</v>
      </c>
      <c r="G228" s="1">
        <f>'Raw Tickets'!$G$228</f>
        <v>65.5</v>
      </c>
      <c r="H228" s="1">
        <f>'Raw Tickets'!$H$228</f>
        <v>66</v>
      </c>
      <c r="I228" s="1">
        <f>'Raw Tickets'!$I$228</f>
        <v>2</v>
      </c>
      <c r="J228" s="6">
        <f>'Raw Tickets'!$J$228</f>
        <v>92.7</v>
      </c>
      <c r="K228" s="1" t="str">
        <f>'Raw Tickets'!$K$228</f>
        <v>Closed</v>
      </c>
      <c r="L228" s="1" t="str">
        <f>'Raw Tickets'!$L$228</f>
        <v>Yes</v>
      </c>
      <c r="M228" s="1" t="str">
        <f>'Raw Tickets'!$M$228</f>
        <v>No</v>
      </c>
      <c r="N228" s="1" t="str">
        <f>IFERROR(VLOOKUP(C228,Agents!$A$2:$E$26,2,FALSE),"")</f>
        <v>Varun Mehta</v>
      </c>
      <c r="O228" s="1" t="str">
        <f>IFERROR(INDEX(Agents!$D$2:$D$26,MATCH(C228,Agents!$A$2:$A$26,0)),"")</f>
        <v>Escalations</v>
      </c>
      <c r="P228" s="1" t="str">
        <f>IFERROR(VLOOKUP(C228,Agents!$A$2:$E$26,3,FALSE),"")</f>
        <v>Pallavi Rao</v>
      </c>
      <c r="Q228" s="1" t="str">
        <f>IFERROR(VLOOKUP(C228,Agents!$A$2:$E$26,5,FALSE),"")</f>
        <v>Gurugram</v>
      </c>
      <c r="R228" s="1">
        <f>IFERROR(VLOOKUP(F228,#REF!,2,FALSE),0)</f>
        <v>0</v>
      </c>
      <c r="S228" s="1" t="str">
        <f t="shared" si="18"/>
        <v>Breached</v>
      </c>
      <c r="T228" s="1" t="str">
        <f t="shared" si="19"/>
        <v>Late</v>
      </c>
      <c r="U228" s="1" t="str">
        <f t="shared" si="20"/>
        <v>2025-08</v>
      </c>
      <c r="V228" s="1" t="str">
        <f t="shared" si="21"/>
        <v>Poor</v>
      </c>
      <c r="W228" s="1" t="str">
        <f t="shared" si="22"/>
        <v>Pass</v>
      </c>
      <c r="X228" s="1" t="str">
        <f t="shared" si="23"/>
        <v>Unique</v>
      </c>
    </row>
    <row r="229" spans="1:24" ht="15" customHeight="1">
      <c r="A229" s="1" t="str">
        <f>'Raw Tickets'!$A$229</f>
        <v>T00228</v>
      </c>
      <c r="B229" s="4">
        <f>'Raw Tickets'!$B$229</f>
        <v>45906</v>
      </c>
      <c r="C229" s="1" t="str">
        <f>'Raw Tickets'!$C$229</f>
        <v>A023</v>
      </c>
      <c r="D229" s="1" t="str">
        <f>'Raw Tickets'!$D$229</f>
        <v>Call</v>
      </c>
      <c r="E229" s="1" t="str">
        <f>'Raw Tickets'!$E$229</f>
        <v>Payment Failure</v>
      </c>
      <c r="F229" s="1" t="str">
        <f>'Raw Tickets'!$F$229</f>
        <v>Low</v>
      </c>
      <c r="G229" s="1">
        <f>'Raw Tickets'!$G$229</f>
        <v>41.6</v>
      </c>
      <c r="H229" s="1">
        <f>'Raw Tickets'!$H$229</f>
        <v>36</v>
      </c>
      <c r="I229" s="1">
        <f>'Raw Tickets'!$I$229</f>
        <v>5</v>
      </c>
      <c r="J229" s="6">
        <f>'Raw Tickets'!$J$229</f>
        <v>73.5</v>
      </c>
      <c r="K229" s="1" t="str">
        <f>'Raw Tickets'!$K$229</f>
        <v>Closed</v>
      </c>
      <c r="L229" s="1" t="str">
        <f>'Raw Tickets'!$L$229</f>
        <v>No</v>
      </c>
      <c r="M229" s="1" t="str">
        <f>'Raw Tickets'!$M$229</f>
        <v>No</v>
      </c>
      <c r="N229" s="1" t="str">
        <f>IFERROR(VLOOKUP(C229,Agents!$A$2:$E$26,2,FALSE),"")</f>
        <v>Ishita Verma</v>
      </c>
      <c r="O229" s="1" t="str">
        <f>IFERROR(INDEX(Agents!$D$2:$D$26,MATCH(C229,Agents!$A$2:$A$26,0)),"")</f>
        <v>Seller Support</v>
      </c>
      <c r="P229" s="1" t="str">
        <f>IFERROR(VLOOKUP(C229,Agents!$A$2:$E$26,3,FALSE),"")</f>
        <v>Vivek Jain</v>
      </c>
      <c r="Q229" s="1" t="str">
        <f>IFERROR(VLOOKUP(C229,Agents!$A$2:$E$26,5,FALSE),"")</f>
        <v>Noida</v>
      </c>
      <c r="R229" s="1">
        <f>IFERROR(VLOOKUP(F229,#REF!,2,FALSE),0)</f>
        <v>0</v>
      </c>
      <c r="S229" s="1" t="str">
        <f t="shared" si="18"/>
        <v>Breached</v>
      </c>
      <c r="T229" s="1" t="str">
        <f t="shared" si="19"/>
        <v>Late</v>
      </c>
      <c r="U229" s="1" t="str">
        <f t="shared" si="20"/>
        <v>2025-09</v>
      </c>
      <c r="V229" s="1" t="str">
        <f t="shared" si="21"/>
        <v>Good</v>
      </c>
      <c r="W229" s="1" t="str">
        <f t="shared" si="22"/>
        <v>Needs Coaching</v>
      </c>
      <c r="X229" s="1" t="str">
        <f t="shared" si="23"/>
        <v>Unique</v>
      </c>
    </row>
    <row r="230" spans="1:24" ht="15" customHeight="1">
      <c r="A230" s="1" t="str">
        <f>'Raw Tickets'!$A$230</f>
        <v>T00229</v>
      </c>
      <c r="B230" s="4">
        <f>'Raw Tickets'!$B$230</f>
        <v>45808</v>
      </c>
      <c r="C230" s="1" t="str">
        <f>'Raw Tickets'!$C$230</f>
        <v>A009</v>
      </c>
      <c r="D230" s="1" t="str">
        <f>'Raw Tickets'!$D$230</f>
        <v>Email</v>
      </c>
      <c r="E230" s="1" t="str">
        <f>'Raw Tickets'!$E$230</f>
        <v>Order Cancellation</v>
      </c>
      <c r="F230" s="1" t="str">
        <f>'Raw Tickets'!$F$230</f>
        <v>Medium</v>
      </c>
      <c r="G230" s="1">
        <f>'Raw Tickets'!$G$230</f>
        <v>35</v>
      </c>
      <c r="H230" s="1">
        <f>'Raw Tickets'!$H$230</f>
        <v>32</v>
      </c>
      <c r="I230" s="1">
        <f>'Raw Tickets'!$I$230</f>
        <v>5</v>
      </c>
      <c r="J230" s="6">
        <f>'Raw Tickets'!$J$230</f>
        <v>95.3</v>
      </c>
      <c r="K230" s="1" t="str">
        <f>'Raw Tickets'!$K$230</f>
        <v>Closed</v>
      </c>
      <c r="L230" s="1" t="str">
        <f>'Raw Tickets'!$L$230</f>
        <v>No</v>
      </c>
      <c r="M230" s="1" t="str">
        <f>'Raw Tickets'!$M$230</f>
        <v>No</v>
      </c>
      <c r="N230" s="1" t="str">
        <f>IFERROR(VLOOKUP(C230,Agents!$A$2:$E$26,2,FALSE),"")</f>
        <v>Divya Mehta</v>
      </c>
      <c r="O230" s="1" t="str">
        <f>IFERROR(INDEX(Agents!$D$2:$D$26,MATCH(C230,Agents!$A$2:$A$26,0)),"")</f>
        <v>Voice Support</v>
      </c>
      <c r="P230" s="1" t="str">
        <f>IFERROR(VLOOKUP(C230,Agents!$A$2:$E$26,3,FALSE),"")</f>
        <v>Kritika Shah</v>
      </c>
      <c r="Q230" s="1" t="str">
        <f>IFERROR(VLOOKUP(C230,Agents!$A$2:$E$26,5,FALSE),"")</f>
        <v>Gurugram</v>
      </c>
      <c r="R230" s="1">
        <f>IFERROR(VLOOKUP(F230,#REF!,2,FALSE),0)</f>
        <v>0</v>
      </c>
      <c r="S230" s="1" t="str">
        <f t="shared" si="18"/>
        <v>Breached</v>
      </c>
      <c r="T230" s="1" t="str">
        <f t="shared" si="19"/>
        <v>Late</v>
      </c>
      <c r="U230" s="1" t="str">
        <f t="shared" si="20"/>
        <v>2025-05</v>
      </c>
      <c r="V230" s="1" t="str">
        <f t="shared" si="21"/>
        <v>Good</v>
      </c>
      <c r="W230" s="1" t="str">
        <f t="shared" si="22"/>
        <v>Pass</v>
      </c>
      <c r="X230" s="1" t="str">
        <f t="shared" si="23"/>
        <v>Unique</v>
      </c>
    </row>
    <row r="231" spans="1:24" ht="15" customHeight="1">
      <c r="A231" s="1" t="str">
        <f>'Raw Tickets'!$A$231</f>
        <v>T00230</v>
      </c>
      <c r="B231" s="4">
        <f>'Raw Tickets'!$B$231</f>
        <v>45966</v>
      </c>
      <c r="C231" s="1" t="str">
        <f>'Raw Tickets'!$C$231</f>
        <v>A015</v>
      </c>
      <c r="D231" s="1" t="str">
        <f>'Raw Tickets'!$D$231</f>
        <v>Email</v>
      </c>
      <c r="E231" s="1" t="str">
        <f>'Raw Tickets'!$E$231</f>
        <v>Refund</v>
      </c>
      <c r="F231" s="1" t="str">
        <f>'Raw Tickets'!$F$231</f>
        <v>Medium</v>
      </c>
      <c r="G231" s="1">
        <f>'Raw Tickets'!$G$231</f>
        <v>7.7</v>
      </c>
      <c r="H231" s="1">
        <f>'Raw Tickets'!$H$231</f>
        <v>39</v>
      </c>
      <c r="I231" s="1">
        <f>'Raw Tickets'!$I$231</f>
        <v>4</v>
      </c>
      <c r="J231" s="6">
        <f>'Raw Tickets'!$J$231</f>
        <v>91.6</v>
      </c>
      <c r="K231" s="1" t="str">
        <f>'Raw Tickets'!$K$231</f>
        <v>Closed</v>
      </c>
      <c r="L231" s="1" t="str">
        <f>'Raw Tickets'!$L$231</f>
        <v>No</v>
      </c>
      <c r="M231" s="1" t="str">
        <f>'Raw Tickets'!$M$231</f>
        <v>No</v>
      </c>
      <c r="N231" s="1" t="str">
        <f>IFERROR(VLOOKUP(C231,Agents!$A$2:$E$26,2,FALSE),"")</f>
        <v>Neha Jain</v>
      </c>
      <c r="O231" s="1" t="str">
        <f>IFERROR(INDEX(Agents!$D$2:$D$26,MATCH(C231,Agents!$A$2:$A$26,0)),"")</f>
        <v>Chat Support</v>
      </c>
      <c r="P231" s="1" t="str">
        <f>IFERROR(VLOOKUP(C231,Agents!$A$2:$E$26,3,FALSE),"")</f>
        <v>Nitin Gupta</v>
      </c>
      <c r="Q231" s="1" t="str">
        <f>IFERROR(VLOOKUP(C231,Agents!$A$2:$E$26,5,FALSE),"")</f>
        <v>Bengaluru</v>
      </c>
      <c r="R231" s="1">
        <f>IFERROR(VLOOKUP(F231,#REF!,2,FALSE),0)</f>
        <v>0</v>
      </c>
      <c r="S231" s="1" t="str">
        <f t="shared" si="18"/>
        <v>Breached</v>
      </c>
      <c r="T231" s="1" t="str">
        <f t="shared" si="19"/>
        <v>Late</v>
      </c>
      <c r="U231" s="1" t="str">
        <f t="shared" si="20"/>
        <v>2025-11</v>
      </c>
      <c r="V231" s="1" t="str">
        <f t="shared" si="21"/>
        <v>Good</v>
      </c>
      <c r="W231" s="1" t="str">
        <f t="shared" si="22"/>
        <v>Pass</v>
      </c>
      <c r="X231" s="1" t="str">
        <f t="shared" si="23"/>
        <v>Unique</v>
      </c>
    </row>
    <row r="232" spans="1:24" ht="15" customHeight="1">
      <c r="A232" s="1" t="str">
        <f>'Raw Tickets'!$A$232</f>
        <v>T00231</v>
      </c>
      <c r="B232" s="4">
        <f>'Raw Tickets'!$B$232</f>
        <v>45713</v>
      </c>
      <c r="C232" s="1" t="str">
        <f>'Raw Tickets'!$C$232</f>
        <v>A022</v>
      </c>
      <c r="D232" s="1" t="str">
        <f>'Raw Tickets'!$D$232</f>
        <v>Call</v>
      </c>
      <c r="E232" s="1" t="str">
        <f>'Raw Tickets'!$E$232</f>
        <v>Product Quality</v>
      </c>
      <c r="F232" s="1" t="str">
        <f>'Raw Tickets'!$F$232</f>
        <v>Medium</v>
      </c>
      <c r="G232" s="1">
        <f>'Raw Tickets'!$G$232</f>
        <v>40.5</v>
      </c>
      <c r="H232" s="1">
        <f>'Raw Tickets'!$H$232</f>
        <v>26</v>
      </c>
      <c r="I232" s="1">
        <f>'Raw Tickets'!$I$232</f>
        <v>5</v>
      </c>
      <c r="J232" s="6">
        <f>'Raw Tickets'!$J$232</f>
        <v>85.8</v>
      </c>
      <c r="K232" s="1" t="str">
        <f>'Raw Tickets'!$K$232</f>
        <v>Closed</v>
      </c>
      <c r="L232" s="1" t="str">
        <f>'Raw Tickets'!$L$232</f>
        <v>No</v>
      </c>
      <c r="M232" s="1" t="str">
        <f>'Raw Tickets'!$M$232</f>
        <v>No</v>
      </c>
      <c r="N232" s="1" t="str">
        <f>IFERROR(VLOOKUP(C232,Agents!$A$2:$E$26,2,FALSE),"")</f>
        <v>Varun Sharma</v>
      </c>
      <c r="O232" s="1" t="str">
        <f>IFERROR(INDEX(Agents!$D$2:$D$26,MATCH(C232,Agents!$A$2:$A$26,0)),"")</f>
        <v>Seller Support</v>
      </c>
      <c r="P232" s="1" t="str">
        <f>IFERROR(VLOOKUP(C232,Agents!$A$2:$E$26,3,FALSE),"")</f>
        <v>Vivek Jain</v>
      </c>
      <c r="Q232" s="1" t="str">
        <f>IFERROR(VLOOKUP(C232,Agents!$A$2:$E$26,5,FALSE),"")</f>
        <v>Noida</v>
      </c>
      <c r="R232" s="1">
        <f>IFERROR(VLOOKUP(F232,#REF!,2,FALSE),0)</f>
        <v>0</v>
      </c>
      <c r="S232" s="1" t="str">
        <f t="shared" si="18"/>
        <v>Breached</v>
      </c>
      <c r="T232" s="1" t="str">
        <f t="shared" si="19"/>
        <v>Within Target</v>
      </c>
      <c r="U232" s="1" t="str">
        <f t="shared" si="20"/>
        <v>2025-02</v>
      </c>
      <c r="V232" s="1" t="str">
        <f t="shared" si="21"/>
        <v>Good</v>
      </c>
      <c r="W232" s="1" t="str">
        <f t="shared" si="22"/>
        <v>Pass</v>
      </c>
      <c r="X232" s="1" t="str">
        <f t="shared" si="23"/>
        <v>Unique</v>
      </c>
    </row>
    <row r="233" spans="1:24" ht="15" customHeight="1">
      <c r="A233" s="1" t="str">
        <f>'Raw Tickets'!$A$233</f>
        <v>T00232</v>
      </c>
      <c r="B233" s="4">
        <f>'Raw Tickets'!$B$233</f>
        <v>45983</v>
      </c>
      <c r="C233" s="1" t="str">
        <f>'Raw Tickets'!$C$233</f>
        <v>A016</v>
      </c>
      <c r="D233" s="1" t="str">
        <f>'Raw Tickets'!$D$233</f>
        <v>Email</v>
      </c>
      <c r="E233" s="1" t="str">
        <f>'Raw Tickets'!$E$233</f>
        <v>Payment Failure</v>
      </c>
      <c r="F233" s="1" t="str">
        <f>'Raw Tickets'!$F$233</f>
        <v>Medium</v>
      </c>
      <c r="G233" s="1">
        <f>'Raw Tickets'!$G$233</f>
        <v>11.3</v>
      </c>
      <c r="H233" s="1">
        <f>'Raw Tickets'!$H$233</f>
        <v>27</v>
      </c>
      <c r="I233" s="1">
        <f>'Raw Tickets'!$I$233</f>
        <v>2</v>
      </c>
      <c r="J233" s="6">
        <f>'Raw Tickets'!$J$233</f>
        <v>74.8</v>
      </c>
      <c r="K233" s="1" t="str">
        <f>'Raw Tickets'!$K$233</f>
        <v>Closed</v>
      </c>
      <c r="L233" s="1" t="str">
        <f>'Raw Tickets'!$L$233</f>
        <v>No</v>
      </c>
      <c r="M233" s="1" t="str">
        <f>'Raw Tickets'!$M$233</f>
        <v>No</v>
      </c>
      <c r="N233" s="1" t="str">
        <f>IFERROR(VLOOKUP(C233,Agents!$A$2:$E$26,2,FALSE),"")</f>
        <v>Pooja Bansal</v>
      </c>
      <c r="O233" s="1" t="str">
        <f>IFERROR(INDEX(Agents!$D$2:$D$26,MATCH(C233,Agents!$A$2:$A$26,0)),"")</f>
        <v>Escalations</v>
      </c>
      <c r="P233" s="1" t="str">
        <f>IFERROR(VLOOKUP(C233,Agents!$A$2:$E$26,3,FALSE),"")</f>
        <v>Pallavi Rao</v>
      </c>
      <c r="Q233" s="1" t="str">
        <f>IFERROR(VLOOKUP(C233,Agents!$A$2:$E$26,5,FALSE),"")</f>
        <v>Hyderabad</v>
      </c>
      <c r="R233" s="1">
        <f>IFERROR(VLOOKUP(F233,#REF!,2,FALSE),0)</f>
        <v>0</v>
      </c>
      <c r="S233" s="1" t="str">
        <f t="shared" si="18"/>
        <v>Breached</v>
      </c>
      <c r="T233" s="1" t="str">
        <f t="shared" si="19"/>
        <v>Within Target</v>
      </c>
      <c r="U233" s="1" t="str">
        <f t="shared" si="20"/>
        <v>2025-11</v>
      </c>
      <c r="V233" s="1" t="str">
        <f t="shared" si="21"/>
        <v>Poor</v>
      </c>
      <c r="W233" s="1" t="str">
        <f t="shared" si="22"/>
        <v>Needs Coaching</v>
      </c>
      <c r="X233" s="1" t="str">
        <f t="shared" si="23"/>
        <v>Unique</v>
      </c>
    </row>
    <row r="234" spans="1:24" ht="15" customHeight="1">
      <c r="A234" s="1" t="str">
        <f>'Raw Tickets'!$A$234</f>
        <v>T00233</v>
      </c>
      <c r="B234" s="4">
        <f>'Raw Tickets'!$B$234</f>
        <v>45837</v>
      </c>
      <c r="C234" s="1" t="str">
        <f>'Raw Tickets'!$C$234</f>
        <v>A009</v>
      </c>
      <c r="D234" s="1" t="str">
        <f>'Raw Tickets'!$D$234</f>
        <v>Chat</v>
      </c>
      <c r="E234" s="1" t="str">
        <f>'Raw Tickets'!$E$234</f>
        <v>Order Cancellation</v>
      </c>
      <c r="F234" s="1" t="str">
        <f>'Raw Tickets'!$F$234</f>
        <v>Low</v>
      </c>
      <c r="G234" s="1">
        <f>'Raw Tickets'!$G$234</f>
        <v>68.7</v>
      </c>
      <c r="H234" s="1">
        <f>'Raw Tickets'!$H$234</f>
        <v>23</v>
      </c>
      <c r="I234" s="1">
        <f>'Raw Tickets'!$I$234</f>
        <v>3</v>
      </c>
      <c r="J234" s="6">
        <f>'Raw Tickets'!$J$234</f>
        <v>92.6</v>
      </c>
      <c r="K234" s="1" t="str">
        <f>'Raw Tickets'!$K$234</f>
        <v>Closed</v>
      </c>
      <c r="L234" s="1" t="str">
        <f>'Raw Tickets'!$L$234</f>
        <v>No</v>
      </c>
      <c r="M234" s="1" t="str">
        <f>'Raw Tickets'!$M$234</f>
        <v>No</v>
      </c>
      <c r="N234" s="1" t="str">
        <f>IFERROR(VLOOKUP(C234,Agents!$A$2:$E$26,2,FALSE),"")</f>
        <v>Divya Mehta</v>
      </c>
      <c r="O234" s="1" t="str">
        <f>IFERROR(INDEX(Agents!$D$2:$D$26,MATCH(C234,Agents!$A$2:$A$26,0)),"")</f>
        <v>Voice Support</v>
      </c>
      <c r="P234" s="1" t="str">
        <f>IFERROR(VLOOKUP(C234,Agents!$A$2:$E$26,3,FALSE),"")</f>
        <v>Kritika Shah</v>
      </c>
      <c r="Q234" s="1" t="str">
        <f>IFERROR(VLOOKUP(C234,Agents!$A$2:$E$26,5,FALSE),"")</f>
        <v>Gurugram</v>
      </c>
      <c r="R234" s="1">
        <f>IFERROR(VLOOKUP(F234,#REF!,2,FALSE),0)</f>
        <v>0</v>
      </c>
      <c r="S234" s="1" t="str">
        <f t="shared" si="18"/>
        <v>Breached</v>
      </c>
      <c r="T234" s="1" t="str">
        <f t="shared" si="19"/>
        <v>Within Target</v>
      </c>
      <c r="U234" s="1" t="str">
        <f t="shared" si="20"/>
        <v>2025-06</v>
      </c>
      <c r="V234" s="1" t="str">
        <f t="shared" si="21"/>
        <v>Average</v>
      </c>
      <c r="W234" s="1" t="str">
        <f t="shared" si="22"/>
        <v>Pass</v>
      </c>
      <c r="X234" s="1" t="str">
        <f t="shared" si="23"/>
        <v>Unique</v>
      </c>
    </row>
    <row r="235" spans="1:24" ht="15" customHeight="1">
      <c r="A235" s="1" t="str">
        <f>'Raw Tickets'!$A$235</f>
        <v>T00234</v>
      </c>
      <c r="B235" s="4">
        <f>'Raw Tickets'!$B$235</f>
        <v>45930</v>
      </c>
      <c r="C235" s="1" t="str">
        <f>'Raw Tickets'!$C$235</f>
        <v>A019</v>
      </c>
      <c r="D235" s="1" t="str">
        <f>'Raw Tickets'!$D$235</f>
        <v>Call</v>
      </c>
      <c r="E235" s="1" t="str">
        <f>'Raw Tickets'!$E$235</f>
        <v>Account Issue</v>
      </c>
      <c r="F235" s="1" t="str">
        <f>'Raw Tickets'!$F$235</f>
        <v>Low</v>
      </c>
      <c r="G235" s="1">
        <f>'Raw Tickets'!$G$235</f>
        <v>19.399999999999999</v>
      </c>
      <c r="H235" s="1">
        <f>'Raw Tickets'!$H$235</f>
        <v>37</v>
      </c>
      <c r="I235" s="1">
        <f>'Raw Tickets'!$I$235</f>
        <v>4</v>
      </c>
      <c r="J235" s="6">
        <f>'Raw Tickets'!$J$235</f>
        <v>94.6</v>
      </c>
      <c r="K235" s="1" t="str">
        <f>'Raw Tickets'!$K$235</f>
        <v>Closed</v>
      </c>
      <c r="L235" s="1" t="str">
        <f>'Raw Tickets'!$L$235</f>
        <v>No</v>
      </c>
      <c r="M235" s="1" t="str">
        <f>'Raw Tickets'!$M$235</f>
        <v>No</v>
      </c>
      <c r="N235" s="1" t="str">
        <f>IFERROR(VLOOKUP(C235,Agents!$A$2:$E$26,2,FALSE),"")</f>
        <v>Sneha Joshi</v>
      </c>
      <c r="O235" s="1" t="str">
        <f>IFERROR(INDEX(Agents!$D$2:$D$26,MATCH(C235,Agents!$A$2:$A$26,0)),"")</f>
        <v>Escalations</v>
      </c>
      <c r="P235" s="1" t="str">
        <f>IFERROR(VLOOKUP(C235,Agents!$A$2:$E$26,3,FALSE),"")</f>
        <v>Pallavi Rao</v>
      </c>
      <c r="Q235" s="1" t="str">
        <f>IFERROR(VLOOKUP(C235,Agents!$A$2:$E$26,5,FALSE),"")</f>
        <v>Hyderabad</v>
      </c>
      <c r="R235" s="1">
        <f>IFERROR(VLOOKUP(F235,#REF!,2,FALSE),0)</f>
        <v>0</v>
      </c>
      <c r="S235" s="1" t="str">
        <f t="shared" si="18"/>
        <v>Breached</v>
      </c>
      <c r="T235" s="1" t="str">
        <f t="shared" si="19"/>
        <v>Late</v>
      </c>
      <c r="U235" s="1" t="str">
        <f t="shared" si="20"/>
        <v>2025-09</v>
      </c>
      <c r="V235" s="1" t="str">
        <f t="shared" si="21"/>
        <v>Good</v>
      </c>
      <c r="W235" s="1" t="str">
        <f t="shared" si="22"/>
        <v>Pass</v>
      </c>
      <c r="X235" s="1" t="str">
        <f t="shared" si="23"/>
        <v>Unique</v>
      </c>
    </row>
    <row r="236" spans="1:24" ht="15" customHeight="1">
      <c r="A236" s="1" t="str">
        <f>'Raw Tickets'!$A$236</f>
        <v>T00235</v>
      </c>
      <c r="B236" s="4">
        <f>'Raw Tickets'!$B$236</f>
        <v>46011</v>
      </c>
      <c r="C236" s="1" t="str">
        <f>'Raw Tickets'!$C$236</f>
        <v>A008</v>
      </c>
      <c r="D236" s="1" t="str">
        <f>'Raw Tickets'!$D$236</f>
        <v>Call</v>
      </c>
      <c r="E236" s="1" t="str">
        <f>'Raw Tickets'!$E$236</f>
        <v>Delivery Delay</v>
      </c>
      <c r="F236" s="1" t="str">
        <f>'Raw Tickets'!$F$236</f>
        <v>Medium</v>
      </c>
      <c r="G236" s="1">
        <f>'Raw Tickets'!$G$236</f>
        <v>6.3</v>
      </c>
      <c r="H236" s="1">
        <f>'Raw Tickets'!$H$236</f>
        <v>36</v>
      </c>
      <c r="I236" s="1">
        <f>'Raw Tickets'!$I$236</f>
        <v>5</v>
      </c>
      <c r="J236" s="6">
        <f>'Raw Tickets'!$J$236</f>
        <v>89.3</v>
      </c>
      <c r="K236" s="1" t="str">
        <f>'Raw Tickets'!$K$236</f>
        <v>Open</v>
      </c>
      <c r="L236" s="1" t="str">
        <f>'Raw Tickets'!$L$236</f>
        <v>No</v>
      </c>
      <c r="M236" s="1" t="str">
        <f>'Raw Tickets'!$M$236</f>
        <v>No</v>
      </c>
      <c r="N236" s="1" t="str">
        <f>IFERROR(VLOOKUP(C236,Agents!$A$2:$E$26,2,FALSE),"")</f>
        <v>Ananya Mishra</v>
      </c>
      <c r="O236" s="1" t="str">
        <f>IFERROR(INDEX(Agents!$D$2:$D$26,MATCH(C236,Agents!$A$2:$A$26,0)),"")</f>
        <v>Voice Support</v>
      </c>
      <c r="P236" s="1" t="str">
        <f>IFERROR(VLOOKUP(C236,Agents!$A$2:$E$26,3,FALSE),"")</f>
        <v>Kritika Shah</v>
      </c>
      <c r="Q236" s="1" t="str">
        <f>IFERROR(VLOOKUP(C236,Agents!$A$2:$E$26,5,FALSE),"")</f>
        <v>Hyderabad</v>
      </c>
      <c r="R236" s="1">
        <f>IFERROR(VLOOKUP(F236,#REF!,2,FALSE),0)</f>
        <v>0</v>
      </c>
      <c r="S236" s="1" t="str">
        <f t="shared" si="18"/>
        <v>Breached</v>
      </c>
      <c r="T236" s="1" t="str">
        <f t="shared" si="19"/>
        <v>Late</v>
      </c>
      <c r="U236" s="1" t="str">
        <f t="shared" si="20"/>
        <v>2025-12</v>
      </c>
      <c r="V236" s="1" t="str">
        <f t="shared" si="21"/>
        <v>Good</v>
      </c>
      <c r="W236" s="1" t="str">
        <f t="shared" si="22"/>
        <v>Pass</v>
      </c>
      <c r="X236" s="1" t="str">
        <f t="shared" si="23"/>
        <v>Unique</v>
      </c>
    </row>
    <row r="237" spans="1:24" ht="15" customHeight="1">
      <c r="A237" s="1" t="str">
        <f>'Raw Tickets'!$A$237</f>
        <v>T00236</v>
      </c>
      <c r="B237" s="4">
        <f>'Raw Tickets'!$B$237</f>
        <v>45799</v>
      </c>
      <c r="C237" s="1" t="str">
        <f>'Raw Tickets'!$C$237</f>
        <v>A009</v>
      </c>
      <c r="D237" s="1" t="str">
        <f>'Raw Tickets'!$D$237</f>
        <v>Email</v>
      </c>
      <c r="E237" s="1" t="str">
        <f>'Raw Tickets'!$E$237</f>
        <v>Product Quality</v>
      </c>
      <c r="F237" s="1" t="str">
        <f>'Raw Tickets'!$F$237</f>
        <v>Medium</v>
      </c>
      <c r="G237" s="1">
        <f>'Raw Tickets'!$G$237</f>
        <v>6.4</v>
      </c>
      <c r="H237" s="1">
        <f>'Raw Tickets'!$H$237</f>
        <v>44</v>
      </c>
      <c r="I237" s="1">
        <f>'Raw Tickets'!$I$237</f>
        <v>5</v>
      </c>
      <c r="J237" s="6">
        <f>'Raw Tickets'!$J$237</f>
        <v>78.8</v>
      </c>
      <c r="K237" s="1" t="str">
        <f>'Raw Tickets'!$K$237</f>
        <v>Closed</v>
      </c>
      <c r="L237" s="1" t="str">
        <f>'Raw Tickets'!$L$237</f>
        <v>No</v>
      </c>
      <c r="M237" s="1" t="str">
        <f>'Raw Tickets'!$M$237</f>
        <v>No</v>
      </c>
      <c r="N237" s="1" t="str">
        <f>IFERROR(VLOOKUP(C237,Agents!$A$2:$E$26,2,FALSE),"")</f>
        <v>Divya Mehta</v>
      </c>
      <c r="O237" s="1" t="str">
        <f>IFERROR(INDEX(Agents!$D$2:$D$26,MATCH(C237,Agents!$A$2:$A$26,0)),"")</f>
        <v>Voice Support</v>
      </c>
      <c r="P237" s="1" t="str">
        <f>IFERROR(VLOOKUP(C237,Agents!$A$2:$E$26,3,FALSE),"")</f>
        <v>Kritika Shah</v>
      </c>
      <c r="Q237" s="1" t="str">
        <f>IFERROR(VLOOKUP(C237,Agents!$A$2:$E$26,5,FALSE),"")</f>
        <v>Gurugram</v>
      </c>
      <c r="R237" s="1">
        <f>IFERROR(VLOOKUP(F237,#REF!,2,FALSE),0)</f>
        <v>0</v>
      </c>
      <c r="S237" s="1" t="str">
        <f t="shared" si="18"/>
        <v>Breached</v>
      </c>
      <c r="T237" s="1" t="str">
        <f t="shared" si="19"/>
        <v>Late</v>
      </c>
      <c r="U237" s="1" t="str">
        <f t="shared" si="20"/>
        <v>2025-05</v>
      </c>
      <c r="V237" s="1" t="str">
        <f t="shared" si="21"/>
        <v>Good</v>
      </c>
      <c r="W237" s="1" t="str">
        <f t="shared" si="22"/>
        <v>Needs Coaching</v>
      </c>
      <c r="X237" s="1" t="str">
        <f t="shared" si="23"/>
        <v>Unique</v>
      </c>
    </row>
    <row r="238" spans="1:24" ht="15" customHeight="1">
      <c r="A238" s="1" t="str">
        <f>'Raw Tickets'!$A$238</f>
        <v>T00237</v>
      </c>
      <c r="B238" s="4">
        <f>'Raw Tickets'!$B$238</f>
        <v>45671</v>
      </c>
      <c r="C238" s="1" t="str">
        <f>'Raw Tickets'!$C$238</f>
        <v>A002</v>
      </c>
      <c r="D238" s="1" t="str">
        <f>'Raw Tickets'!$D$238</f>
        <v>Chat</v>
      </c>
      <c r="E238" s="1" t="str">
        <f>'Raw Tickets'!$E$238</f>
        <v>Account Issue</v>
      </c>
      <c r="F238" s="1" t="str">
        <f>'Raw Tickets'!$F$238</f>
        <v>Critical</v>
      </c>
      <c r="G238" s="1">
        <f>'Raw Tickets'!$G$238</f>
        <v>1.1000000000000001</v>
      </c>
      <c r="H238" s="1">
        <f>'Raw Tickets'!$H$238</f>
        <v>6</v>
      </c>
      <c r="I238" s="1">
        <f>'Raw Tickets'!$I$238</f>
        <v>5</v>
      </c>
      <c r="J238" s="6">
        <f>'Raw Tickets'!$J$238</f>
        <v>79.7</v>
      </c>
      <c r="K238" s="1" t="str">
        <f>'Raw Tickets'!$K$238</f>
        <v>Closed</v>
      </c>
      <c r="L238" s="1" t="str">
        <f>'Raw Tickets'!$L$238</f>
        <v>No</v>
      </c>
      <c r="M238" s="1" t="str">
        <f>'Raw Tickets'!$M$238</f>
        <v>No</v>
      </c>
      <c r="N238" s="1" t="str">
        <f>IFERROR(VLOOKUP(C238,Agents!$A$2:$E$26,2,FALSE),"")</f>
        <v>Gaurav Khan</v>
      </c>
      <c r="O238" s="1" t="str">
        <f>IFERROR(INDEX(Agents!$D$2:$D$26,MATCH(C238,Agents!$A$2:$A$26,0)),"")</f>
        <v>Email Support</v>
      </c>
      <c r="P238" s="1" t="str">
        <f>IFERROR(VLOOKUP(C238,Agents!$A$2:$E$26,3,FALSE),"")</f>
        <v>Aman Verma</v>
      </c>
      <c r="Q238" s="1" t="str">
        <f>IFERROR(VLOOKUP(C238,Agents!$A$2:$E$26,5,FALSE),"")</f>
        <v>Noida</v>
      </c>
      <c r="R238" s="1">
        <f>IFERROR(VLOOKUP(F238,#REF!,2,FALSE),0)</f>
        <v>0</v>
      </c>
      <c r="S238" s="1" t="str">
        <f t="shared" si="18"/>
        <v>Breached</v>
      </c>
      <c r="T238" s="1" t="str">
        <f t="shared" si="19"/>
        <v>Within Target</v>
      </c>
      <c r="U238" s="1" t="str">
        <f t="shared" si="20"/>
        <v>2025-01</v>
      </c>
      <c r="V238" s="1" t="str">
        <f t="shared" si="21"/>
        <v>Good</v>
      </c>
      <c r="W238" s="1" t="str">
        <f t="shared" si="22"/>
        <v>Needs Coaching</v>
      </c>
      <c r="X238" s="1" t="str">
        <f t="shared" si="23"/>
        <v>Unique</v>
      </c>
    </row>
    <row r="239" spans="1:24" ht="15" customHeight="1">
      <c r="A239" s="1" t="str">
        <f>'Raw Tickets'!$A$239</f>
        <v>T00238</v>
      </c>
      <c r="B239" s="4">
        <f>'Raw Tickets'!$B$239</f>
        <v>45948</v>
      </c>
      <c r="C239" s="1" t="str">
        <f>'Raw Tickets'!$C$239</f>
        <v>A010</v>
      </c>
      <c r="D239" s="1" t="str">
        <f>'Raw Tickets'!$D$239</f>
        <v>Email</v>
      </c>
      <c r="E239" s="1" t="str">
        <f>'Raw Tickets'!$E$239</f>
        <v>Account Issue</v>
      </c>
      <c r="F239" s="1" t="str">
        <f>'Raw Tickets'!$F$239</f>
        <v>High</v>
      </c>
      <c r="G239" s="1">
        <f>'Raw Tickets'!$G$239</f>
        <v>10.199999999999999</v>
      </c>
      <c r="H239" s="1">
        <f>'Raw Tickets'!$H$239</f>
        <v>11</v>
      </c>
      <c r="I239" s="1">
        <f>'Raw Tickets'!$I$239</f>
        <v>4</v>
      </c>
      <c r="J239" s="6">
        <f>'Raw Tickets'!$J$239</f>
        <v>81.599999999999994</v>
      </c>
      <c r="K239" s="1" t="str">
        <f>'Raw Tickets'!$K$239</f>
        <v>Closed</v>
      </c>
      <c r="L239" s="1" t="str">
        <f>'Raw Tickets'!$L$239</f>
        <v>No</v>
      </c>
      <c r="M239" s="1" t="str">
        <f>'Raw Tickets'!$M$239</f>
        <v>No</v>
      </c>
      <c r="N239" s="1" t="str">
        <f>IFERROR(VLOOKUP(C239,Agents!$A$2:$E$26,2,FALSE),"")</f>
        <v>Ananya Gupta</v>
      </c>
      <c r="O239" s="1" t="str">
        <f>IFERROR(INDEX(Agents!$D$2:$D$26,MATCH(C239,Agents!$A$2:$A$26,0)),"")</f>
        <v>Voice Support</v>
      </c>
      <c r="P239" s="1" t="str">
        <f>IFERROR(VLOOKUP(C239,Agents!$A$2:$E$26,3,FALSE),"")</f>
        <v>Kritika Shah</v>
      </c>
      <c r="Q239" s="1" t="str">
        <f>IFERROR(VLOOKUP(C239,Agents!$A$2:$E$26,5,FALSE),"")</f>
        <v>Gurugram</v>
      </c>
      <c r="R239" s="1">
        <f>IFERROR(VLOOKUP(F239,#REF!,2,FALSE),0)</f>
        <v>0</v>
      </c>
      <c r="S239" s="1" t="str">
        <f t="shared" si="18"/>
        <v>Breached</v>
      </c>
      <c r="T239" s="1" t="str">
        <f t="shared" si="19"/>
        <v>Within Target</v>
      </c>
      <c r="U239" s="1" t="str">
        <f t="shared" si="20"/>
        <v>2025-10</v>
      </c>
      <c r="V239" s="1" t="str">
        <f t="shared" si="21"/>
        <v>Good</v>
      </c>
      <c r="W239" s="1" t="str">
        <f t="shared" si="22"/>
        <v>Needs Coaching</v>
      </c>
      <c r="X239" s="1" t="str">
        <f t="shared" si="23"/>
        <v>Unique</v>
      </c>
    </row>
    <row r="240" spans="1:24" ht="15" customHeight="1">
      <c r="A240" s="1" t="str">
        <f>'Raw Tickets'!$A$240</f>
        <v>T00239</v>
      </c>
      <c r="B240" s="4">
        <f>'Raw Tickets'!$B$240</f>
        <v>45911</v>
      </c>
      <c r="C240" s="1" t="str">
        <f>'Raw Tickets'!$C$240</f>
        <v>A010</v>
      </c>
      <c r="D240" s="1" t="str">
        <f>'Raw Tickets'!$D$240</f>
        <v>Call</v>
      </c>
      <c r="E240" s="1" t="str">
        <f>'Raw Tickets'!$E$240</f>
        <v>Refund</v>
      </c>
      <c r="F240" s="1" t="str">
        <f>'Raw Tickets'!$F$240</f>
        <v>Medium</v>
      </c>
      <c r="G240" s="1">
        <f>'Raw Tickets'!$G$240</f>
        <v>16.600000000000001</v>
      </c>
      <c r="H240" s="1">
        <f>'Raw Tickets'!$H$240</f>
        <v>46</v>
      </c>
      <c r="I240" s="1">
        <f>'Raw Tickets'!$I$240</f>
        <v>3</v>
      </c>
      <c r="J240" s="6">
        <f>'Raw Tickets'!$J$240</f>
        <v>84.8</v>
      </c>
      <c r="K240" s="1" t="str">
        <f>'Raw Tickets'!$K$240</f>
        <v>Closed</v>
      </c>
      <c r="L240" s="1" t="str">
        <f>'Raw Tickets'!$L$240</f>
        <v>No</v>
      </c>
      <c r="M240" s="1" t="str">
        <f>'Raw Tickets'!$M$240</f>
        <v>No</v>
      </c>
      <c r="N240" s="1" t="str">
        <f>IFERROR(VLOOKUP(C240,Agents!$A$2:$E$26,2,FALSE),"")</f>
        <v>Ananya Gupta</v>
      </c>
      <c r="O240" s="1" t="str">
        <f>IFERROR(INDEX(Agents!$D$2:$D$26,MATCH(C240,Agents!$A$2:$A$26,0)),"")</f>
        <v>Voice Support</v>
      </c>
      <c r="P240" s="1" t="str">
        <f>IFERROR(VLOOKUP(C240,Agents!$A$2:$E$26,3,FALSE),"")</f>
        <v>Kritika Shah</v>
      </c>
      <c r="Q240" s="1" t="str">
        <f>IFERROR(VLOOKUP(C240,Agents!$A$2:$E$26,5,FALSE),"")</f>
        <v>Gurugram</v>
      </c>
      <c r="R240" s="1">
        <f>IFERROR(VLOOKUP(F240,#REF!,2,FALSE),0)</f>
        <v>0</v>
      </c>
      <c r="S240" s="1" t="str">
        <f t="shared" si="18"/>
        <v>Breached</v>
      </c>
      <c r="T240" s="1" t="str">
        <f t="shared" si="19"/>
        <v>Late</v>
      </c>
      <c r="U240" s="1" t="str">
        <f t="shared" si="20"/>
        <v>2025-09</v>
      </c>
      <c r="V240" s="1" t="str">
        <f t="shared" si="21"/>
        <v>Average</v>
      </c>
      <c r="W240" s="1" t="str">
        <f t="shared" si="22"/>
        <v>Needs Coaching</v>
      </c>
      <c r="X240" s="1" t="str">
        <f t="shared" si="23"/>
        <v>Unique</v>
      </c>
    </row>
    <row r="241" spans="1:24" ht="15" customHeight="1">
      <c r="A241" s="1" t="str">
        <f>'Raw Tickets'!$A$241</f>
        <v>T00240</v>
      </c>
      <c r="B241" s="4">
        <f>'Raw Tickets'!$B$241</f>
        <v>45668</v>
      </c>
      <c r="C241" s="1" t="str">
        <f>'Raw Tickets'!$C$241</f>
        <v>A021</v>
      </c>
      <c r="D241" s="1" t="str">
        <f>'Raw Tickets'!$D$241</f>
        <v>Email</v>
      </c>
      <c r="E241" s="1" t="str">
        <f>'Raw Tickets'!$E$241</f>
        <v>Order Cancellation</v>
      </c>
      <c r="F241" s="1" t="str">
        <f>'Raw Tickets'!$F$241</f>
        <v>High</v>
      </c>
      <c r="G241" s="1">
        <f>'Raw Tickets'!$G$241</f>
        <v>20.8</v>
      </c>
      <c r="H241" s="1">
        <f>'Raw Tickets'!$H$241</f>
        <v>8</v>
      </c>
      <c r="I241" s="1">
        <f>'Raw Tickets'!$I$241</f>
        <v>2</v>
      </c>
      <c r="J241" s="6">
        <f>'Raw Tickets'!$J$241</f>
        <v>77.2</v>
      </c>
      <c r="K241" s="1" t="str">
        <f>'Raw Tickets'!$K$241</f>
        <v>Closed</v>
      </c>
      <c r="L241" s="1" t="str">
        <f>'Raw Tickets'!$L$241</f>
        <v>No</v>
      </c>
      <c r="M241" s="1" t="str">
        <f>'Raw Tickets'!$M$241</f>
        <v>No</v>
      </c>
      <c r="N241" s="1" t="str">
        <f>IFERROR(VLOOKUP(C241,Agents!$A$2:$E$26,2,FALSE),"")</f>
        <v>Nikhil Bansal</v>
      </c>
      <c r="O241" s="1" t="str">
        <f>IFERROR(INDEX(Agents!$D$2:$D$26,MATCH(C241,Agents!$A$2:$A$26,0)),"")</f>
        <v>Seller Support</v>
      </c>
      <c r="P241" s="1" t="str">
        <f>IFERROR(VLOOKUP(C241,Agents!$A$2:$E$26,3,FALSE),"")</f>
        <v>Vivek Jain</v>
      </c>
      <c r="Q241" s="1" t="str">
        <f>IFERROR(VLOOKUP(C241,Agents!$A$2:$E$26,5,FALSE),"")</f>
        <v>Bengaluru</v>
      </c>
      <c r="R241" s="1">
        <f>IFERROR(VLOOKUP(F241,#REF!,2,FALSE),0)</f>
        <v>0</v>
      </c>
      <c r="S241" s="1" t="str">
        <f t="shared" si="18"/>
        <v>Breached</v>
      </c>
      <c r="T241" s="1" t="str">
        <f t="shared" si="19"/>
        <v>Within Target</v>
      </c>
      <c r="U241" s="1" t="str">
        <f t="shared" si="20"/>
        <v>2025-01</v>
      </c>
      <c r="V241" s="1" t="str">
        <f t="shared" si="21"/>
        <v>Poor</v>
      </c>
      <c r="W241" s="1" t="str">
        <f t="shared" si="22"/>
        <v>Needs Coaching</v>
      </c>
      <c r="X241" s="1" t="str">
        <f t="shared" si="23"/>
        <v>Unique</v>
      </c>
    </row>
    <row r="242" spans="1:24" ht="15" customHeight="1">
      <c r="A242" s="1" t="str">
        <f>'Raw Tickets'!$A$242</f>
        <v>T00241</v>
      </c>
      <c r="B242" s="4">
        <f>'Raw Tickets'!$B$242</f>
        <v>45738</v>
      </c>
      <c r="C242" s="1" t="str">
        <f>'Raw Tickets'!$C$242</f>
        <v>A020</v>
      </c>
      <c r="D242" s="1" t="str">
        <f>'Raw Tickets'!$D$242</f>
        <v>Call</v>
      </c>
      <c r="E242" s="1" t="str">
        <f>'Raw Tickets'!$E$242</f>
        <v>Order Cancellation</v>
      </c>
      <c r="F242" s="1" t="str">
        <f>'Raw Tickets'!$F$242</f>
        <v>Low</v>
      </c>
      <c r="G242" s="1">
        <f>'Raw Tickets'!$G$242</f>
        <v>31.2</v>
      </c>
      <c r="H242" s="1">
        <f>'Raw Tickets'!$H$242</f>
        <v>30</v>
      </c>
      <c r="I242" s="1">
        <f>'Raw Tickets'!$I$242</f>
        <v>3</v>
      </c>
      <c r="J242" s="6">
        <f>'Raw Tickets'!$J$242</f>
        <v>83.1</v>
      </c>
      <c r="K242" s="1" t="str">
        <f>'Raw Tickets'!$K$242</f>
        <v>Closed</v>
      </c>
      <c r="L242" s="1" t="str">
        <f>'Raw Tickets'!$L$242</f>
        <v>Yes</v>
      </c>
      <c r="M242" s="1" t="str">
        <f>'Raw Tickets'!$M$242</f>
        <v>No</v>
      </c>
      <c r="N242" s="1" t="str">
        <f>IFERROR(VLOOKUP(C242,Agents!$A$2:$E$26,2,FALSE),"")</f>
        <v>Aditi Bansal</v>
      </c>
      <c r="O242" s="1" t="str">
        <f>IFERROR(INDEX(Agents!$D$2:$D$26,MATCH(C242,Agents!$A$2:$A$26,0)),"")</f>
        <v>Escalations</v>
      </c>
      <c r="P242" s="1" t="str">
        <f>IFERROR(VLOOKUP(C242,Agents!$A$2:$E$26,3,FALSE),"")</f>
        <v>Pallavi Rao</v>
      </c>
      <c r="Q242" s="1" t="str">
        <f>IFERROR(VLOOKUP(C242,Agents!$A$2:$E$26,5,FALSE),"")</f>
        <v>Noida</v>
      </c>
      <c r="R242" s="1">
        <f>IFERROR(VLOOKUP(F242,#REF!,2,FALSE),0)</f>
        <v>0</v>
      </c>
      <c r="S242" s="1" t="str">
        <f t="shared" si="18"/>
        <v>Breached</v>
      </c>
      <c r="T242" s="1" t="str">
        <f t="shared" si="19"/>
        <v>Within Target</v>
      </c>
      <c r="U242" s="1" t="str">
        <f t="shared" si="20"/>
        <v>2025-03</v>
      </c>
      <c r="V242" s="1" t="str">
        <f t="shared" si="21"/>
        <v>Average</v>
      </c>
      <c r="W242" s="1" t="str">
        <f t="shared" si="22"/>
        <v>Needs Coaching</v>
      </c>
      <c r="X242" s="1" t="str">
        <f t="shared" si="23"/>
        <v>Unique</v>
      </c>
    </row>
    <row r="243" spans="1:24" ht="15" customHeight="1">
      <c r="A243" s="1" t="str">
        <f>'Raw Tickets'!$A$243</f>
        <v>T00242</v>
      </c>
      <c r="B243" s="4">
        <f>'Raw Tickets'!$B$243</f>
        <v>45923</v>
      </c>
      <c r="C243" s="1" t="str">
        <f>'Raw Tickets'!$C$243</f>
        <v>A011</v>
      </c>
      <c r="D243" s="1" t="str">
        <f>'Raw Tickets'!$D$243</f>
        <v>Email</v>
      </c>
      <c r="E243" s="1" t="str">
        <f>'Raw Tickets'!$E$243</f>
        <v>Account Issue</v>
      </c>
      <c r="F243" s="1" t="str">
        <f>'Raw Tickets'!$F$243</f>
        <v>Medium</v>
      </c>
      <c r="G243" s="1">
        <f>'Raw Tickets'!$G$243</f>
        <v>20.2</v>
      </c>
      <c r="H243" s="1">
        <f>'Raw Tickets'!$H$243</f>
        <v>20</v>
      </c>
      <c r="I243" s="1">
        <f>'Raw Tickets'!$I$243</f>
        <v>5</v>
      </c>
      <c r="J243" s="6">
        <f>'Raw Tickets'!$J$243</f>
        <v>84.3</v>
      </c>
      <c r="K243" s="1" t="str">
        <f>'Raw Tickets'!$K$243</f>
        <v>Closed</v>
      </c>
      <c r="L243" s="1" t="str">
        <f>'Raw Tickets'!$L$243</f>
        <v>No</v>
      </c>
      <c r="M243" s="1" t="str">
        <f>'Raw Tickets'!$M$243</f>
        <v>No</v>
      </c>
      <c r="N243" s="1" t="str">
        <f>IFERROR(VLOOKUP(C243,Agents!$A$2:$E$26,2,FALSE),"")</f>
        <v>Shreya Singh</v>
      </c>
      <c r="O243" s="1" t="str">
        <f>IFERROR(INDEX(Agents!$D$2:$D$26,MATCH(C243,Agents!$A$2:$A$26,0)),"")</f>
        <v>Chat Support</v>
      </c>
      <c r="P243" s="1" t="str">
        <f>IFERROR(VLOOKUP(C243,Agents!$A$2:$E$26,3,FALSE),"")</f>
        <v>Nitin Gupta</v>
      </c>
      <c r="Q243" s="1" t="str">
        <f>IFERROR(VLOOKUP(C243,Agents!$A$2:$E$26,5,FALSE),"")</f>
        <v>Noida</v>
      </c>
      <c r="R243" s="1">
        <f>IFERROR(VLOOKUP(F243,#REF!,2,FALSE),0)</f>
        <v>0</v>
      </c>
      <c r="S243" s="1" t="str">
        <f t="shared" si="18"/>
        <v>Breached</v>
      </c>
      <c r="T243" s="1" t="str">
        <f t="shared" si="19"/>
        <v>Within Target</v>
      </c>
      <c r="U243" s="1" t="str">
        <f t="shared" si="20"/>
        <v>2025-09</v>
      </c>
      <c r="V243" s="1" t="str">
        <f t="shared" si="21"/>
        <v>Good</v>
      </c>
      <c r="W243" s="1" t="str">
        <f t="shared" si="22"/>
        <v>Needs Coaching</v>
      </c>
      <c r="X243" s="1" t="str">
        <f t="shared" si="23"/>
        <v>Unique</v>
      </c>
    </row>
    <row r="244" spans="1:24" ht="15" customHeight="1">
      <c r="A244" s="1" t="str">
        <f>'Raw Tickets'!$A$244</f>
        <v>T00243</v>
      </c>
      <c r="B244" s="4">
        <f>'Raw Tickets'!$B$244</f>
        <v>45710</v>
      </c>
      <c r="C244" s="1" t="str">
        <f>'Raw Tickets'!$C$244</f>
        <v>A019</v>
      </c>
      <c r="D244" s="1" t="str">
        <f>'Raw Tickets'!$D$244</f>
        <v>Email</v>
      </c>
      <c r="E244" s="1" t="str">
        <f>'Raw Tickets'!$E$244</f>
        <v>Delivery Delay</v>
      </c>
      <c r="F244" s="1" t="str">
        <f>'Raw Tickets'!$F$244</f>
        <v>Low</v>
      </c>
      <c r="G244" s="1">
        <f>'Raw Tickets'!$G$244</f>
        <v>83</v>
      </c>
      <c r="H244" s="1">
        <f>'Raw Tickets'!$H$244</f>
        <v>45</v>
      </c>
      <c r="I244" s="1">
        <f>'Raw Tickets'!$I$244</f>
        <v>5</v>
      </c>
      <c r="J244" s="6">
        <f>'Raw Tickets'!$J$244</f>
        <v>77.900000000000006</v>
      </c>
      <c r="K244" s="1" t="str">
        <f>'Raw Tickets'!$K$244</f>
        <v>Closed</v>
      </c>
      <c r="L244" s="1" t="str">
        <f>'Raw Tickets'!$L$244</f>
        <v>No</v>
      </c>
      <c r="M244" s="1" t="str">
        <f>'Raw Tickets'!$M$244</f>
        <v>No</v>
      </c>
      <c r="N244" s="1" t="str">
        <f>IFERROR(VLOOKUP(C244,Agents!$A$2:$E$26,2,FALSE),"")</f>
        <v>Sneha Joshi</v>
      </c>
      <c r="O244" s="1" t="str">
        <f>IFERROR(INDEX(Agents!$D$2:$D$26,MATCH(C244,Agents!$A$2:$A$26,0)),"")</f>
        <v>Escalations</v>
      </c>
      <c r="P244" s="1" t="str">
        <f>IFERROR(VLOOKUP(C244,Agents!$A$2:$E$26,3,FALSE),"")</f>
        <v>Pallavi Rao</v>
      </c>
      <c r="Q244" s="1" t="str">
        <f>IFERROR(VLOOKUP(C244,Agents!$A$2:$E$26,5,FALSE),"")</f>
        <v>Hyderabad</v>
      </c>
      <c r="R244" s="1">
        <f>IFERROR(VLOOKUP(F244,#REF!,2,FALSE),0)</f>
        <v>0</v>
      </c>
      <c r="S244" s="1" t="str">
        <f t="shared" si="18"/>
        <v>Breached</v>
      </c>
      <c r="T244" s="1" t="str">
        <f t="shared" si="19"/>
        <v>Late</v>
      </c>
      <c r="U244" s="1" t="str">
        <f t="shared" si="20"/>
        <v>2025-02</v>
      </c>
      <c r="V244" s="1" t="str">
        <f t="shared" si="21"/>
        <v>Good</v>
      </c>
      <c r="W244" s="1" t="str">
        <f t="shared" si="22"/>
        <v>Needs Coaching</v>
      </c>
      <c r="X244" s="1" t="str">
        <f t="shared" si="23"/>
        <v>Unique</v>
      </c>
    </row>
    <row r="245" spans="1:24" ht="15" customHeight="1">
      <c r="A245" s="1" t="str">
        <f>'Raw Tickets'!$A$245</f>
        <v>T00244</v>
      </c>
      <c r="B245" s="4">
        <f>'Raw Tickets'!$B$245</f>
        <v>45860</v>
      </c>
      <c r="C245" s="1" t="str">
        <f>'Raw Tickets'!$C$245</f>
        <v>A024</v>
      </c>
      <c r="D245" s="1" t="str">
        <f>'Raw Tickets'!$D$245</f>
        <v>Email</v>
      </c>
      <c r="E245" s="1" t="str">
        <f>'Raw Tickets'!$E$245</f>
        <v>Order Cancellation</v>
      </c>
      <c r="F245" s="1" t="str">
        <f>'Raw Tickets'!$F$245</f>
        <v>Medium</v>
      </c>
      <c r="G245" s="1">
        <f>'Raw Tickets'!$G$245</f>
        <v>0.5</v>
      </c>
      <c r="H245" s="1">
        <f>'Raw Tickets'!$H$245</f>
        <v>27</v>
      </c>
      <c r="I245" s="1">
        <f>'Raw Tickets'!$I$245</f>
        <v>5</v>
      </c>
      <c r="J245" s="6">
        <f>'Raw Tickets'!$J$245</f>
        <v>72.2</v>
      </c>
      <c r="K245" s="1" t="str">
        <f>'Raw Tickets'!$K$245</f>
        <v>Closed</v>
      </c>
      <c r="L245" s="1" t="str">
        <f>'Raw Tickets'!$L$245</f>
        <v>No</v>
      </c>
      <c r="M245" s="1" t="str">
        <f>'Raw Tickets'!$M$245</f>
        <v>No</v>
      </c>
      <c r="N245" s="1" t="str">
        <f>IFERROR(VLOOKUP(C245,Agents!$A$2:$E$26,2,FALSE),"")</f>
        <v>Rohan Verma</v>
      </c>
      <c r="O245" s="1" t="str">
        <f>IFERROR(INDEX(Agents!$D$2:$D$26,MATCH(C245,Agents!$A$2:$A$26,0)),"")</f>
        <v>Seller Support</v>
      </c>
      <c r="P245" s="1" t="str">
        <f>IFERROR(VLOOKUP(C245,Agents!$A$2:$E$26,3,FALSE),"")</f>
        <v>Vivek Jain</v>
      </c>
      <c r="Q245" s="1" t="str">
        <f>IFERROR(VLOOKUP(C245,Agents!$A$2:$E$26,5,FALSE),"")</f>
        <v>Noida</v>
      </c>
      <c r="R245" s="1">
        <f>IFERROR(VLOOKUP(F245,#REF!,2,FALSE),0)</f>
        <v>0</v>
      </c>
      <c r="S245" s="1" t="str">
        <f t="shared" si="18"/>
        <v>Breached</v>
      </c>
      <c r="T245" s="1" t="str">
        <f t="shared" si="19"/>
        <v>Within Target</v>
      </c>
      <c r="U245" s="1" t="str">
        <f t="shared" si="20"/>
        <v>2025-07</v>
      </c>
      <c r="V245" s="1" t="str">
        <f t="shared" si="21"/>
        <v>Good</v>
      </c>
      <c r="W245" s="1" t="str">
        <f t="shared" si="22"/>
        <v>Needs Coaching</v>
      </c>
      <c r="X245" s="1" t="str">
        <f t="shared" si="23"/>
        <v>Unique</v>
      </c>
    </row>
    <row r="246" spans="1:24" ht="15" customHeight="1">
      <c r="A246" s="1" t="str">
        <f>'Raw Tickets'!$A$246</f>
        <v>T00245</v>
      </c>
      <c r="B246" s="4">
        <f>'Raw Tickets'!$B$246</f>
        <v>45867</v>
      </c>
      <c r="C246" s="1" t="str">
        <f>'Raw Tickets'!$C$246</f>
        <v>A015</v>
      </c>
      <c r="D246" s="1" t="str">
        <f>'Raw Tickets'!$D$246</f>
        <v>Email</v>
      </c>
      <c r="E246" s="1" t="str">
        <f>'Raw Tickets'!$E$246</f>
        <v>Refund</v>
      </c>
      <c r="F246" s="1" t="str">
        <f>'Raw Tickets'!$F$246</f>
        <v>High</v>
      </c>
      <c r="G246" s="1">
        <f>'Raw Tickets'!$G$246</f>
        <v>18.2</v>
      </c>
      <c r="H246" s="1">
        <f>'Raw Tickets'!$H$246</f>
        <v>18</v>
      </c>
      <c r="I246" s="1">
        <f>'Raw Tickets'!$I$246</f>
        <v>1</v>
      </c>
      <c r="J246" s="6">
        <f>'Raw Tickets'!$J$246</f>
        <v>89.1</v>
      </c>
      <c r="K246" s="1" t="str">
        <f>'Raw Tickets'!$K$246</f>
        <v>Closed</v>
      </c>
      <c r="L246" s="1" t="str">
        <f>'Raw Tickets'!$L$246</f>
        <v>No</v>
      </c>
      <c r="M246" s="1" t="str">
        <f>'Raw Tickets'!$M$246</f>
        <v>No</v>
      </c>
      <c r="N246" s="1" t="str">
        <f>IFERROR(VLOOKUP(C246,Agents!$A$2:$E$26,2,FALSE),"")</f>
        <v>Neha Jain</v>
      </c>
      <c r="O246" s="1" t="str">
        <f>IFERROR(INDEX(Agents!$D$2:$D$26,MATCH(C246,Agents!$A$2:$A$26,0)),"")</f>
        <v>Chat Support</v>
      </c>
      <c r="P246" s="1" t="str">
        <f>IFERROR(VLOOKUP(C246,Agents!$A$2:$E$26,3,FALSE),"")</f>
        <v>Nitin Gupta</v>
      </c>
      <c r="Q246" s="1" t="str">
        <f>IFERROR(VLOOKUP(C246,Agents!$A$2:$E$26,5,FALSE),"")</f>
        <v>Bengaluru</v>
      </c>
      <c r="R246" s="1">
        <f>IFERROR(VLOOKUP(F246,#REF!,2,FALSE),0)</f>
        <v>0</v>
      </c>
      <c r="S246" s="1" t="str">
        <f t="shared" si="18"/>
        <v>Breached</v>
      </c>
      <c r="T246" s="1" t="str">
        <f t="shared" si="19"/>
        <v>Within Target</v>
      </c>
      <c r="U246" s="1" t="str">
        <f t="shared" si="20"/>
        <v>2025-07</v>
      </c>
      <c r="V246" s="1" t="str">
        <f t="shared" si="21"/>
        <v>Poor</v>
      </c>
      <c r="W246" s="1" t="str">
        <f t="shared" si="22"/>
        <v>Pass</v>
      </c>
      <c r="X246" s="1" t="str">
        <f t="shared" si="23"/>
        <v>Unique</v>
      </c>
    </row>
    <row r="247" spans="1:24" ht="15" customHeight="1">
      <c r="A247" s="1" t="str">
        <f>'Raw Tickets'!$A$247</f>
        <v>T00246</v>
      </c>
      <c r="B247" s="4">
        <f>'Raw Tickets'!$B$247</f>
        <v>45851</v>
      </c>
      <c r="C247" s="1" t="str">
        <f>'Raw Tickets'!$C$247</f>
        <v>A025</v>
      </c>
      <c r="D247" s="1" t="str">
        <f>'Raw Tickets'!$D$247</f>
        <v>Call</v>
      </c>
      <c r="E247" s="1" t="str">
        <f>'Raw Tickets'!$E$247</f>
        <v>Payment Failure</v>
      </c>
      <c r="F247" s="1" t="str">
        <f>'Raw Tickets'!$F$247</f>
        <v>Medium</v>
      </c>
      <c r="G247" s="1">
        <f>'Raw Tickets'!$G$247</f>
        <v>51.5</v>
      </c>
      <c r="H247" s="1">
        <f>'Raw Tickets'!$H$247</f>
        <v>63</v>
      </c>
      <c r="I247" s="1">
        <f>'Raw Tickets'!$I$247</f>
        <v>5</v>
      </c>
      <c r="J247" s="6">
        <f>'Raw Tickets'!$J$247</f>
        <v>87.1</v>
      </c>
      <c r="K247" s="1" t="str">
        <f>'Raw Tickets'!$K$247</f>
        <v>Closed</v>
      </c>
      <c r="L247" s="1" t="str">
        <f>'Raw Tickets'!$L$247</f>
        <v>No</v>
      </c>
      <c r="M247" s="1" t="str">
        <f>'Raw Tickets'!$M$247</f>
        <v>No</v>
      </c>
      <c r="N247" s="1" t="str">
        <f>IFERROR(VLOOKUP(C247,Agents!$A$2:$E$26,2,FALSE),"")</f>
        <v>Arjun Nair</v>
      </c>
      <c r="O247" s="1" t="str">
        <f>IFERROR(INDEX(Agents!$D$2:$D$26,MATCH(C247,Agents!$A$2:$A$26,0)),"")</f>
        <v>Seller Support</v>
      </c>
      <c r="P247" s="1" t="str">
        <f>IFERROR(VLOOKUP(C247,Agents!$A$2:$E$26,3,FALSE),"")</f>
        <v>Vivek Jain</v>
      </c>
      <c r="Q247" s="1" t="str">
        <f>IFERROR(VLOOKUP(C247,Agents!$A$2:$E$26,5,FALSE),"")</f>
        <v>Noida</v>
      </c>
      <c r="R247" s="1">
        <f>IFERROR(VLOOKUP(F247,#REF!,2,FALSE),0)</f>
        <v>0</v>
      </c>
      <c r="S247" s="1" t="str">
        <f t="shared" si="18"/>
        <v>Breached</v>
      </c>
      <c r="T247" s="1" t="str">
        <f t="shared" si="19"/>
        <v>Late</v>
      </c>
      <c r="U247" s="1" t="str">
        <f t="shared" si="20"/>
        <v>2025-07</v>
      </c>
      <c r="V247" s="1" t="str">
        <f t="shared" si="21"/>
        <v>Good</v>
      </c>
      <c r="W247" s="1" t="str">
        <f t="shared" si="22"/>
        <v>Pass</v>
      </c>
      <c r="X247" s="1" t="str">
        <f t="shared" si="23"/>
        <v>Unique</v>
      </c>
    </row>
    <row r="248" spans="1:24" ht="15" customHeight="1">
      <c r="A248" s="1" t="str">
        <f>'Raw Tickets'!$A$248</f>
        <v>T00247</v>
      </c>
      <c r="B248" s="4">
        <f>'Raw Tickets'!$B$248</f>
        <v>46011</v>
      </c>
      <c r="C248" s="1" t="str">
        <f>'Raw Tickets'!$C$248</f>
        <v>A019</v>
      </c>
      <c r="D248" s="1" t="str">
        <f>'Raw Tickets'!$D$248</f>
        <v>Call</v>
      </c>
      <c r="E248" s="1" t="str">
        <f>'Raw Tickets'!$E$248</f>
        <v>Account Issue</v>
      </c>
      <c r="F248" s="1" t="str">
        <f>'Raw Tickets'!$F$248</f>
        <v>High</v>
      </c>
      <c r="G248" s="1">
        <f>'Raw Tickets'!$G$248</f>
        <v>5.4</v>
      </c>
      <c r="H248" s="1">
        <f>'Raw Tickets'!$H$248</f>
        <v>1</v>
      </c>
      <c r="I248" s="1">
        <f>'Raw Tickets'!$I$248</f>
        <v>5</v>
      </c>
      <c r="J248" s="6">
        <f>'Raw Tickets'!$J$248</f>
        <v>84</v>
      </c>
      <c r="K248" s="1" t="str">
        <f>'Raw Tickets'!$K$248</f>
        <v>Closed</v>
      </c>
      <c r="L248" s="1" t="str">
        <f>'Raw Tickets'!$L$248</f>
        <v>No</v>
      </c>
      <c r="M248" s="1" t="str">
        <f>'Raw Tickets'!$M$248</f>
        <v>No</v>
      </c>
      <c r="N248" s="1" t="str">
        <f>IFERROR(VLOOKUP(C248,Agents!$A$2:$E$26,2,FALSE),"")</f>
        <v>Sneha Joshi</v>
      </c>
      <c r="O248" s="1" t="str">
        <f>IFERROR(INDEX(Agents!$D$2:$D$26,MATCH(C248,Agents!$A$2:$A$26,0)),"")</f>
        <v>Escalations</v>
      </c>
      <c r="P248" s="1" t="str">
        <f>IFERROR(VLOOKUP(C248,Agents!$A$2:$E$26,3,FALSE),"")</f>
        <v>Pallavi Rao</v>
      </c>
      <c r="Q248" s="1" t="str">
        <f>IFERROR(VLOOKUP(C248,Agents!$A$2:$E$26,5,FALSE),"")</f>
        <v>Hyderabad</v>
      </c>
      <c r="R248" s="1">
        <f>IFERROR(VLOOKUP(F248,#REF!,2,FALSE),0)</f>
        <v>0</v>
      </c>
      <c r="S248" s="1" t="str">
        <f t="shared" si="18"/>
        <v>Breached</v>
      </c>
      <c r="T248" s="1" t="str">
        <f t="shared" si="19"/>
        <v>Within Target</v>
      </c>
      <c r="U248" s="1" t="str">
        <f t="shared" si="20"/>
        <v>2025-12</v>
      </c>
      <c r="V248" s="1" t="str">
        <f t="shared" si="21"/>
        <v>Good</v>
      </c>
      <c r="W248" s="1" t="str">
        <f t="shared" si="22"/>
        <v>Needs Coaching</v>
      </c>
      <c r="X248" s="1" t="str">
        <f t="shared" si="23"/>
        <v>Unique</v>
      </c>
    </row>
    <row r="249" spans="1:24" ht="15" customHeight="1">
      <c r="A249" s="1" t="str">
        <f>'Raw Tickets'!$A$249</f>
        <v>T00248</v>
      </c>
      <c r="B249" s="4">
        <f>'Raw Tickets'!$B$249</f>
        <v>45863</v>
      </c>
      <c r="C249" s="1" t="str">
        <f>'Raw Tickets'!$C$249</f>
        <v>A010</v>
      </c>
      <c r="D249" s="1" t="str">
        <f>'Raw Tickets'!$D$249</f>
        <v>Call</v>
      </c>
      <c r="E249" s="1" t="str">
        <f>'Raw Tickets'!$E$249</f>
        <v>Account Issue</v>
      </c>
      <c r="F249" s="1" t="str">
        <f>'Raw Tickets'!$F$249</f>
        <v>Medium</v>
      </c>
      <c r="G249" s="1">
        <f>'Raw Tickets'!$G$249</f>
        <v>18</v>
      </c>
      <c r="H249" s="1">
        <f>'Raw Tickets'!$H$249</f>
        <v>25</v>
      </c>
      <c r="I249" s="1">
        <f>'Raw Tickets'!$I$249</f>
        <v>4</v>
      </c>
      <c r="J249" s="6">
        <f>'Raw Tickets'!$J$249</f>
        <v>89.5</v>
      </c>
      <c r="K249" s="1" t="str">
        <f>'Raw Tickets'!$K$249</f>
        <v>Closed</v>
      </c>
      <c r="L249" s="1" t="str">
        <f>'Raw Tickets'!$L$249</f>
        <v>No</v>
      </c>
      <c r="M249" s="1" t="str">
        <f>'Raw Tickets'!$M$249</f>
        <v>Yes</v>
      </c>
      <c r="N249" s="1" t="str">
        <f>IFERROR(VLOOKUP(C249,Agents!$A$2:$E$26,2,FALSE),"")</f>
        <v>Ananya Gupta</v>
      </c>
      <c r="O249" s="1" t="str">
        <f>IFERROR(INDEX(Agents!$D$2:$D$26,MATCH(C249,Agents!$A$2:$A$26,0)),"")</f>
        <v>Voice Support</v>
      </c>
      <c r="P249" s="1" t="str">
        <f>IFERROR(VLOOKUP(C249,Agents!$A$2:$E$26,3,FALSE),"")</f>
        <v>Kritika Shah</v>
      </c>
      <c r="Q249" s="1" t="str">
        <f>IFERROR(VLOOKUP(C249,Agents!$A$2:$E$26,5,FALSE),"")</f>
        <v>Gurugram</v>
      </c>
      <c r="R249" s="1">
        <f>IFERROR(VLOOKUP(F249,#REF!,2,FALSE),0)</f>
        <v>0</v>
      </c>
      <c r="S249" s="1" t="str">
        <f t="shared" si="18"/>
        <v>Breached</v>
      </c>
      <c r="T249" s="1" t="str">
        <f t="shared" si="19"/>
        <v>Within Target</v>
      </c>
      <c r="U249" s="1" t="str">
        <f t="shared" si="20"/>
        <v>2025-07</v>
      </c>
      <c r="V249" s="1" t="str">
        <f t="shared" si="21"/>
        <v>Good</v>
      </c>
      <c r="W249" s="1" t="str">
        <f t="shared" si="22"/>
        <v>Pass</v>
      </c>
      <c r="X249" s="1" t="str">
        <f t="shared" si="23"/>
        <v>Unique</v>
      </c>
    </row>
    <row r="250" spans="1:24" ht="15" customHeight="1">
      <c r="A250" s="1" t="str">
        <f>'Raw Tickets'!$A$250</f>
        <v>T00249</v>
      </c>
      <c r="B250" s="4">
        <f>'Raw Tickets'!$B$250</f>
        <v>45730</v>
      </c>
      <c r="C250" s="1" t="str">
        <f>'Raw Tickets'!$C$250</f>
        <v>A016</v>
      </c>
      <c r="D250" s="1" t="str">
        <f>'Raw Tickets'!$D$250</f>
        <v>Chat</v>
      </c>
      <c r="E250" s="1" t="str">
        <f>'Raw Tickets'!$E$250</f>
        <v>Order Cancellation</v>
      </c>
      <c r="F250" s="1" t="str">
        <f>'Raw Tickets'!$F$250</f>
        <v>Critical</v>
      </c>
      <c r="G250" s="1">
        <f>'Raw Tickets'!$G$250</f>
        <v>4.9000000000000004</v>
      </c>
      <c r="H250" s="1">
        <f>'Raw Tickets'!$H$250</f>
        <v>6</v>
      </c>
      <c r="I250" s="1">
        <f>'Raw Tickets'!$I$250</f>
        <v>5</v>
      </c>
      <c r="J250" s="6">
        <f>'Raw Tickets'!$J$250</f>
        <v>86.7</v>
      </c>
      <c r="K250" s="1" t="str">
        <f>'Raw Tickets'!$K$250</f>
        <v>Closed</v>
      </c>
      <c r="L250" s="1" t="str">
        <f>'Raw Tickets'!$L$250</f>
        <v>No</v>
      </c>
      <c r="M250" s="1" t="str">
        <f>'Raw Tickets'!$M$250</f>
        <v>No</v>
      </c>
      <c r="N250" s="1" t="str">
        <f>IFERROR(VLOOKUP(C250,Agents!$A$2:$E$26,2,FALSE),"")</f>
        <v>Pooja Bansal</v>
      </c>
      <c r="O250" s="1" t="str">
        <f>IFERROR(INDEX(Agents!$D$2:$D$26,MATCH(C250,Agents!$A$2:$A$26,0)),"")</f>
        <v>Escalations</v>
      </c>
      <c r="P250" s="1" t="str">
        <f>IFERROR(VLOOKUP(C250,Agents!$A$2:$E$26,3,FALSE),"")</f>
        <v>Pallavi Rao</v>
      </c>
      <c r="Q250" s="1" t="str">
        <f>IFERROR(VLOOKUP(C250,Agents!$A$2:$E$26,5,FALSE),"")</f>
        <v>Hyderabad</v>
      </c>
      <c r="R250" s="1">
        <f>IFERROR(VLOOKUP(F250,#REF!,2,FALSE),0)</f>
        <v>0</v>
      </c>
      <c r="S250" s="1" t="str">
        <f t="shared" si="18"/>
        <v>Breached</v>
      </c>
      <c r="T250" s="1" t="str">
        <f t="shared" si="19"/>
        <v>Within Target</v>
      </c>
      <c r="U250" s="1" t="str">
        <f t="shared" si="20"/>
        <v>2025-03</v>
      </c>
      <c r="V250" s="1" t="str">
        <f t="shared" si="21"/>
        <v>Good</v>
      </c>
      <c r="W250" s="1" t="str">
        <f t="shared" si="22"/>
        <v>Pass</v>
      </c>
      <c r="X250" s="1" t="str">
        <f t="shared" si="23"/>
        <v>Unique</v>
      </c>
    </row>
    <row r="251" spans="1:24" ht="15" customHeight="1">
      <c r="A251" s="1" t="str">
        <f>'Raw Tickets'!$A$251</f>
        <v>T00250</v>
      </c>
      <c r="B251" s="4">
        <f>'Raw Tickets'!$B$251</f>
        <v>45874</v>
      </c>
      <c r="C251" s="1" t="str">
        <f>'Raw Tickets'!$C$251</f>
        <v>A010</v>
      </c>
      <c r="D251" s="1" t="str">
        <f>'Raw Tickets'!$D$251</f>
        <v>Chat</v>
      </c>
      <c r="E251" s="1" t="str">
        <f>'Raw Tickets'!$E$251</f>
        <v>Order Cancellation</v>
      </c>
      <c r="F251" s="1" t="str">
        <f>'Raw Tickets'!$F$251</f>
        <v>High</v>
      </c>
      <c r="G251" s="1">
        <f>'Raw Tickets'!$G$251</f>
        <v>11.8</v>
      </c>
      <c r="H251" s="1">
        <f>'Raw Tickets'!$H$251</f>
        <v>29</v>
      </c>
      <c r="I251" s="1">
        <f>'Raw Tickets'!$I$251</f>
        <v>4</v>
      </c>
      <c r="J251" s="6">
        <f>'Raw Tickets'!$J$251</f>
        <v>87.8</v>
      </c>
      <c r="K251" s="1" t="str">
        <f>'Raw Tickets'!$K$251</f>
        <v>Closed</v>
      </c>
      <c r="L251" s="1" t="str">
        <f>'Raw Tickets'!$L$251</f>
        <v>No</v>
      </c>
      <c r="M251" s="1" t="str">
        <f>'Raw Tickets'!$M$251</f>
        <v>No</v>
      </c>
      <c r="N251" s="1" t="str">
        <f>IFERROR(VLOOKUP(C251,Agents!$A$2:$E$26,2,FALSE),"")</f>
        <v>Ananya Gupta</v>
      </c>
      <c r="O251" s="1" t="str">
        <f>IFERROR(INDEX(Agents!$D$2:$D$26,MATCH(C251,Agents!$A$2:$A$26,0)),"")</f>
        <v>Voice Support</v>
      </c>
      <c r="P251" s="1" t="str">
        <f>IFERROR(VLOOKUP(C251,Agents!$A$2:$E$26,3,FALSE),"")</f>
        <v>Kritika Shah</v>
      </c>
      <c r="Q251" s="1" t="str">
        <f>IFERROR(VLOOKUP(C251,Agents!$A$2:$E$26,5,FALSE),"")</f>
        <v>Gurugram</v>
      </c>
      <c r="R251" s="1">
        <f>IFERROR(VLOOKUP(F251,#REF!,2,FALSE),0)</f>
        <v>0</v>
      </c>
      <c r="S251" s="1" t="str">
        <f t="shared" si="18"/>
        <v>Breached</v>
      </c>
      <c r="T251" s="1" t="str">
        <f t="shared" si="19"/>
        <v>Within Target</v>
      </c>
      <c r="U251" s="1" t="str">
        <f t="shared" si="20"/>
        <v>2025-08</v>
      </c>
      <c r="V251" s="1" t="str">
        <f t="shared" si="21"/>
        <v>Good</v>
      </c>
      <c r="W251" s="1" t="str">
        <f t="shared" si="22"/>
        <v>Pass</v>
      </c>
      <c r="X251" s="1" t="str">
        <f t="shared" si="23"/>
        <v>Unique</v>
      </c>
    </row>
    <row r="252" spans="1:24" ht="15" customHeight="1">
      <c r="A252" s="1" t="str">
        <f>'Raw Tickets'!$A$252</f>
        <v>T00251</v>
      </c>
      <c r="B252" s="4">
        <f>'Raw Tickets'!$B$252</f>
        <v>45968</v>
      </c>
      <c r="C252" s="1" t="str">
        <f>'Raw Tickets'!$C$252</f>
        <v>A012</v>
      </c>
      <c r="D252" s="1" t="str">
        <f>'Raw Tickets'!$D$252</f>
        <v>Email</v>
      </c>
      <c r="E252" s="1" t="str">
        <f>'Raw Tickets'!$E$252</f>
        <v>Product Quality</v>
      </c>
      <c r="F252" s="1" t="str">
        <f>'Raw Tickets'!$F$252</f>
        <v>Low</v>
      </c>
      <c r="G252" s="1">
        <f>'Raw Tickets'!$G$252</f>
        <v>5.2</v>
      </c>
      <c r="H252" s="1">
        <f>'Raw Tickets'!$H$252</f>
        <v>70</v>
      </c>
      <c r="I252" s="1">
        <f>'Raw Tickets'!$I$252</f>
        <v>4</v>
      </c>
      <c r="J252" s="6">
        <f>'Raw Tickets'!$J$252</f>
        <v>77.2</v>
      </c>
      <c r="K252" s="1" t="str">
        <f>'Raw Tickets'!$K$252</f>
        <v>Closed</v>
      </c>
      <c r="L252" s="1" t="str">
        <f>'Raw Tickets'!$L$252</f>
        <v>No</v>
      </c>
      <c r="M252" s="1" t="str">
        <f>'Raw Tickets'!$M$252</f>
        <v>No</v>
      </c>
      <c r="N252" s="1" t="str">
        <f>IFERROR(VLOOKUP(C252,Agents!$A$2:$E$26,2,FALSE),"")</f>
        <v>Ankit Khan</v>
      </c>
      <c r="O252" s="1" t="str">
        <f>IFERROR(INDEX(Agents!$D$2:$D$26,MATCH(C252,Agents!$A$2:$A$26,0)),"")</f>
        <v>Chat Support</v>
      </c>
      <c r="P252" s="1" t="str">
        <f>IFERROR(VLOOKUP(C252,Agents!$A$2:$E$26,3,FALSE),"")</f>
        <v>Nitin Gupta</v>
      </c>
      <c r="Q252" s="1" t="str">
        <f>IFERROR(VLOOKUP(C252,Agents!$A$2:$E$26,5,FALSE),"")</f>
        <v>Bengaluru</v>
      </c>
      <c r="R252" s="1">
        <f>IFERROR(VLOOKUP(F252,#REF!,2,FALSE),0)</f>
        <v>0</v>
      </c>
      <c r="S252" s="1" t="str">
        <f t="shared" si="18"/>
        <v>Breached</v>
      </c>
      <c r="T252" s="1" t="str">
        <f t="shared" si="19"/>
        <v>Late</v>
      </c>
      <c r="U252" s="1" t="str">
        <f t="shared" si="20"/>
        <v>2025-11</v>
      </c>
      <c r="V252" s="1" t="str">
        <f t="shared" si="21"/>
        <v>Good</v>
      </c>
      <c r="W252" s="1" t="str">
        <f t="shared" si="22"/>
        <v>Needs Coaching</v>
      </c>
      <c r="X252" s="1" t="str">
        <f t="shared" si="23"/>
        <v>Unique</v>
      </c>
    </row>
    <row r="253" spans="1:24" ht="15" customHeight="1">
      <c r="A253" s="1" t="str">
        <f>'Raw Tickets'!$A$253</f>
        <v>T00252</v>
      </c>
      <c r="B253" s="4">
        <f>'Raw Tickets'!$B$253</f>
        <v>45867</v>
      </c>
      <c r="C253" s="1" t="str">
        <f>'Raw Tickets'!$C$253</f>
        <v>A025</v>
      </c>
      <c r="D253" s="1" t="str">
        <f>'Raw Tickets'!$D$253</f>
        <v>Call</v>
      </c>
      <c r="E253" s="1" t="str">
        <f>'Raw Tickets'!$E$253</f>
        <v>Order Cancellation</v>
      </c>
      <c r="F253" s="1" t="str">
        <f>'Raw Tickets'!$F$253</f>
        <v>Medium</v>
      </c>
      <c r="G253" s="1">
        <f>'Raw Tickets'!$G$253</f>
        <v>12.5</v>
      </c>
      <c r="H253" s="1">
        <f>'Raw Tickets'!$H$253</f>
        <v>42</v>
      </c>
      <c r="I253" s="1">
        <f>'Raw Tickets'!$I$253</f>
        <v>4</v>
      </c>
      <c r="J253" s="6">
        <f>'Raw Tickets'!$J$253</f>
        <v>78.599999999999994</v>
      </c>
      <c r="K253" s="1" t="str">
        <f>'Raw Tickets'!$K$253</f>
        <v>Closed</v>
      </c>
      <c r="L253" s="1" t="str">
        <f>'Raw Tickets'!$L$253</f>
        <v>Yes</v>
      </c>
      <c r="M253" s="1" t="str">
        <f>'Raw Tickets'!$M$253</f>
        <v>No</v>
      </c>
      <c r="N253" s="1" t="str">
        <f>IFERROR(VLOOKUP(C253,Agents!$A$2:$E$26,2,FALSE),"")</f>
        <v>Arjun Nair</v>
      </c>
      <c r="O253" s="1" t="str">
        <f>IFERROR(INDEX(Agents!$D$2:$D$26,MATCH(C253,Agents!$A$2:$A$26,0)),"")</f>
        <v>Seller Support</v>
      </c>
      <c r="P253" s="1" t="str">
        <f>IFERROR(VLOOKUP(C253,Agents!$A$2:$E$26,3,FALSE),"")</f>
        <v>Vivek Jain</v>
      </c>
      <c r="Q253" s="1" t="str">
        <f>IFERROR(VLOOKUP(C253,Agents!$A$2:$E$26,5,FALSE),"")</f>
        <v>Noida</v>
      </c>
      <c r="R253" s="1">
        <f>IFERROR(VLOOKUP(F253,#REF!,2,FALSE),0)</f>
        <v>0</v>
      </c>
      <c r="S253" s="1" t="str">
        <f t="shared" si="18"/>
        <v>Breached</v>
      </c>
      <c r="T253" s="1" t="str">
        <f t="shared" si="19"/>
        <v>Late</v>
      </c>
      <c r="U253" s="1" t="str">
        <f t="shared" si="20"/>
        <v>2025-07</v>
      </c>
      <c r="V253" s="1" t="str">
        <f t="shared" si="21"/>
        <v>Good</v>
      </c>
      <c r="W253" s="1" t="str">
        <f t="shared" si="22"/>
        <v>Needs Coaching</v>
      </c>
      <c r="X253" s="1" t="str">
        <f t="shared" si="23"/>
        <v>Unique</v>
      </c>
    </row>
    <row r="254" spans="1:24" ht="15" customHeight="1">
      <c r="A254" s="1" t="str">
        <f>'Raw Tickets'!$A$254</f>
        <v>T00253</v>
      </c>
      <c r="B254" s="4">
        <f>'Raw Tickets'!$B$254</f>
        <v>45769</v>
      </c>
      <c r="C254" s="1" t="str">
        <f>'Raw Tickets'!$C$254</f>
        <v>A001</v>
      </c>
      <c r="D254" s="1" t="str">
        <f>'Raw Tickets'!$D$254</f>
        <v>Call</v>
      </c>
      <c r="E254" s="1" t="str">
        <f>'Raw Tickets'!$E$254</f>
        <v>Product Quality</v>
      </c>
      <c r="F254" s="1" t="str">
        <f>'Raw Tickets'!$F$254</f>
        <v>Medium</v>
      </c>
      <c r="G254" s="1">
        <f>'Raw Tickets'!$G$254</f>
        <v>20.6</v>
      </c>
      <c r="H254" s="1">
        <f>'Raw Tickets'!$H$254</f>
        <v>37</v>
      </c>
      <c r="I254" s="1">
        <f>'Raw Tickets'!$I$254</f>
        <v>4</v>
      </c>
      <c r="J254" s="6">
        <f>'Raw Tickets'!$J$254</f>
        <v>96.7</v>
      </c>
      <c r="K254" s="1" t="str">
        <f>'Raw Tickets'!$K$254</f>
        <v>Closed</v>
      </c>
      <c r="L254" s="1" t="str">
        <f>'Raw Tickets'!$L$254</f>
        <v>No</v>
      </c>
      <c r="M254" s="1" t="str">
        <f>'Raw Tickets'!$M$254</f>
        <v>No</v>
      </c>
      <c r="N254" s="1" t="str">
        <f>IFERROR(VLOOKUP(C254,Agents!$A$2:$E$26,2,FALSE),"")</f>
        <v>Ishita Patel</v>
      </c>
      <c r="O254" s="1" t="str">
        <f>IFERROR(INDEX(Agents!$D$2:$D$26,MATCH(C254,Agents!$A$2:$A$26,0)),"")</f>
        <v>Email Support</v>
      </c>
      <c r="P254" s="1" t="str">
        <f>IFERROR(VLOOKUP(C254,Agents!$A$2:$E$26,3,FALSE),"")</f>
        <v>Aman Verma</v>
      </c>
      <c r="Q254" s="1" t="str">
        <f>IFERROR(VLOOKUP(C254,Agents!$A$2:$E$26,5,FALSE),"")</f>
        <v>Gurugram</v>
      </c>
      <c r="R254" s="1">
        <f>IFERROR(VLOOKUP(F254,#REF!,2,FALSE),0)</f>
        <v>0</v>
      </c>
      <c r="S254" s="1" t="str">
        <f t="shared" si="18"/>
        <v>Breached</v>
      </c>
      <c r="T254" s="1" t="str">
        <f t="shared" si="19"/>
        <v>Late</v>
      </c>
      <c r="U254" s="1" t="str">
        <f t="shared" si="20"/>
        <v>2025-04</v>
      </c>
      <c r="V254" s="1" t="str">
        <f t="shared" si="21"/>
        <v>Good</v>
      </c>
      <c r="W254" s="1" t="str">
        <f t="shared" si="22"/>
        <v>Pass</v>
      </c>
      <c r="X254" s="1" t="str">
        <f t="shared" si="23"/>
        <v>Unique</v>
      </c>
    </row>
    <row r="255" spans="1:24" ht="15" customHeight="1">
      <c r="A255" s="1" t="str">
        <f>'Raw Tickets'!$A$255</f>
        <v>T00254</v>
      </c>
      <c r="B255" s="4">
        <f>'Raw Tickets'!$B$255</f>
        <v>45703</v>
      </c>
      <c r="C255" s="1" t="str">
        <f>'Raw Tickets'!$C$255</f>
        <v>A019</v>
      </c>
      <c r="D255" s="1" t="str">
        <f>'Raw Tickets'!$D$255</f>
        <v>Call</v>
      </c>
      <c r="E255" s="1" t="str">
        <f>'Raw Tickets'!$E$255</f>
        <v>Order Cancellation</v>
      </c>
      <c r="F255" s="1" t="str">
        <f>'Raw Tickets'!$F$255</f>
        <v>Medium</v>
      </c>
      <c r="G255" s="1">
        <f>'Raw Tickets'!$G$255</f>
        <v>14.9</v>
      </c>
      <c r="H255" s="1">
        <f>'Raw Tickets'!$H$255</f>
        <v>46</v>
      </c>
      <c r="I255" s="1">
        <f>'Raw Tickets'!$I$255</f>
        <v>4</v>
      </c>
      <c r="J255" s="6">
        <f>'Raw Tickets'!$J$255</f>
        <v>87.3</v>
      </c>
      <c r="K255" s="1" t="str">
        <f>'Raw Tickets'!$K$255</f>
        <v>Closed</v>
      </c>
      <c r="L255" s="1" t="str">
        <f>'Raw Tickets'!$L$255</f>
        <v>No</v>
      </c>
      <c r="M255" s="1" t="str">
        <f>'Raw Tickets'!$M$255</f>
        <v>No</v>
      </c>
      <c r="N255" s="1" t="str">
        <f>IFERROR(VLOOKUP(C255,Agents!$A$2:$E$26,2,FALSE),"")</f>
        <v>Sneha Joshi</v>
      </c>
      <c r="O255" s="1" t="str">
        <f>IFERROR(INDEX(Agents!$D$2:$D$26,MATCH(C255,Agents!$A$2:$A$26,0)),"")</f>
        <v>Escalations</v>
      </c>
      <c r="P255" s="1" t="str">
        <f>IFERROR(VLOOKUP(C255,Agents!$A$2:$E$26,3,FALSE),"")</f>
        <v>Pallavi Rao</v>
      </c>
      <c r="Q255" s="1" t="str">
        <f>IFERROR(VLOOKUP(C255,Agents!$A$2:$E$26,5,FALSE),"")</f>
        <v>Hyderabad</v>
      </c>
      <c r="R255" s="1">
        <f>IFERROR(VLOOKUP(F255,#REF!,2,FALSE),0)</f>
        <v>0</v>
      </c>
      <c r="S255" s="1" t="str">
        <f t="shared" si="18"/>
        <v>Breached</v>
      </c>
      <c r="T255" s="1" t="str">
        <f t="shared" si="19"/>
        <v>Late</v>
      </c>
      <c r="U255" s="1" t="str">
        <f t="shared" si="20"/>
        <v>2025-02</v>
      </c>
      <c r="V255" s="1" t="str">
        <f t="shared" si="21"/>
        <v>Good</v>
      </c>
      <c r="W255" s="1" t="str">
        <f t="shared" si="22"/>
        <v>Pass</v>
      </c>
      <c r="X255" s="1" t="str">
        <f t="shared" si="23"/>
        <v>Unique</v>
      </c>
    </row>
    <row r="256" spans="1:24" ht="15" customHeight="1">
      <c r="A256" s="1" t="str">
        <f>'Raw Tickets'!$A$256</f>
        <v>T00255</v>
      </c>
      <c r="B256" s="4">
        <f>'Raw Tickets'!$B$256</f>
        <v>46022</v>
      </c>
      <c r="C256" s="1" t="str">
        <f>'Raw Tickets'!$C$256</f>
        <v>A021</v>
      </c>
      <c r="D256" s="1" t="str">
        <f>'Raw Tickets'!$D$256</f>
        <v>Chat</v>
      </c>
      <c r="E256" s="1" t="str">
        <f>'Raw Tickets'!$E$256</f>
        <v>Payment Failure</v>
      </c>
      <c r="F256" s="1" t="str">
        <f>'Raw Tickets'!$F$256</f>
        <v>Medium</v>
      </c>
      <c r="G256" s="1">
        <f>'Raw Tickets'!$G$256</f>
        <v>30.7</v>
      </c>
      <c r="H256" s="1">
        <f>'Raw Tickets'!$H$256</f>
        <v>48</v>
      </c>
      <c r="I256" s="1">
        <f>'Raw Tickets'!$I$256</f>
        <v>4</v>
      </c>
      <c r="J256" s="6">
        <f>'Raw Tickets'!$J$256</f>
        <v>86.4</v>
      </c>
      <c r="K256" s="1" t="str">
        <f>'Raw Tickets'!$K$256</f>
        <v>Closed</v>
      </c>
      <c r="L256" s="1" t="str">
        <f>'Raw Tickets'!$L$256</f>
        <v>No</v>
      </c>
      <c r="M256" s="1" t="str">
        <f>'Raw Tickets'!$M$256</f>
        <v>No</v>
      </c>
      <c r="N256" s="1" t="str">
        <f>IFERROR(VLOOKUP(C256,Agents!$A$2:$E$26,2,FALSE),"")</f>
        <v>Nikhil Bansal</v>
      </c>
      <c r="O256" s="1" t="str">
        <f>IFERROR(INDEX(Agents!$D$2:$D$26,MATCH(C256,Agents!$A$2:$A$26,0)),"")</f>
        <v>Seller Support</v>
      </c>
      <c r="P256" s="1" t="str">
        <f>IFERROR(VLOOKUP(C256,Agents!$A$2:$E$26,3,FALSE),"")</f>
        <v>Vivek Jain</v>
      </c>
      <c r="Q256" s="1" t="str">
        <f>IFERROR(VLOOKUP(C256,Agents!$A$2:$E$26,5,FALSE),"")</f>
        <v>Bengaluru</v>
      </c>
      <c r="R256" s="1">
        <f>IFERROR(VLOOKUP(F256,#REF!,2,FALSE),0)</f>
        <v>0</v>
      </c>
      <c r="S256" s="1" t="str">
        <f t="shared" si="18"/>
        <v>Breached</v>
      </c>
      <c r="T256" s="1" t="str">
        <f t="shared" si="19"/>
        <v>Late</v>
      </c>
      <c r="U256" s="1" t="str">
        <f t="shared" si="20"/>
        <v>2025-12</v>
      </c>
      <c r="V256" s="1" t="str">
        <f t="shared" si="21"/>
        <v>Good</v>
      </c>
      <c r="W256" s="1" t="str">
        <f t="shared" si="22"/>
        <v>Pass</v>
      </c>
      <c r="X256" s="1" t="str">
        <f t="shared" si="23"/>
        <v>Unique</v>
      </c>
    </row>
    <row r="257" spans="1:24" ht="15" customHeight="1">
      <c r="A257" s="1" t="str">
        <f>'Raw Tickets'!$A$257</f>
        <v>T00256</v>
      </c>
      <c r="B257" s="4">
        <f>'Raw Tickets'!$B$257</f>
        <v>45967</v>
      </c>
      <c r="C257" s="1" t="str">
        <f>'Raw Tickets'!$C$257</f>
        <v>A005</v>
      </c>
      <c r="D257" s="1" t="str">
        <f>'Raw Tickets'!$D$257</f>
        <v>Email</v>
      </c>
      <c r="E257" s="1" t="str">
        <f>'Raw Tickets'!$E$257</f>
        <v>Account Issue</v>
      </c>
      <c r="F257" s="1" t="str">
        <f>'Raw Tickets'!$F$257</f>
        <v>Low</v>
      </c>
      <c r="G257" s="1">
        <f>'Raw Tickets'!$G$257</f>
        <v>43</v>
      </c>
      <c r="H257" s="1">
        <f>'Raw Tickets'!$H$257</f>
        <v>30</v>
      </c>
      <c r="I257" s="1">
        <f>'Raw Tickets'!$I$257</f>
        <v>4</v>
      </c>
      <c r="J257" s="6">
        <f>'Raw Tickets'!$J$257</f>
        <v>83.3</v>
      </c>
      <c r="K257" s="1" t="str">
        <f>'Raw Tickets'!$K$257</f>
        <v>Closed</v>
      </c>
      <c r="L257" s="1" t="str">
        <f>'Raw Tickets'!$L$257</f>
        <v>No</v>
      </c>
      <c r="M257" s="1" t="str">
        <f>'Raw Tickets'!$M$257</f>
        <v>No</v>
      </c>
      <c r="N257" s="1" t="str">
        <f>IFERROR(VLOOKUP(C257,Agents!$A$2:$E$26,2,FALSE),"")</f>
        <v>Aditi Verma</v>
      </c>
      <c r="O257" s="1" t="str">
        <f>IFERROR(INDEX(Agents!$D$2:$D$26,MATCH(C257,Agents!$A$2:$A$26,0)),"")</f>
        <v>Email Support</v>
      </c>
      <c r="P257" s="1" t="str">
        <f>IFERROR(VLOOKUP(C257,Agents!$A$2:$E$26,3,FALSE),"")</f>
        <v>Aman Verma</v>
      </c>
      <c r="Q257" s="1" t="str">
        <f>IFERROR(VLOOKUP(C257,Agents!$A$2:$E$26,5,FALSE),"")</f>
        <v>Gurugram</v>
      </c>
      <c r="R257" s="1">
        <f>IFERROR(VLOOKUP(F257,#REF!,2,FALSE),0)</f>
        <v>0</v>
      </c>
      <c r="S257" s="1" t="str">
        <f t="shared" si="18"/>
        <v>Breached</v>
      </c>
      <c r="T257" s="1" t="str">
        <f t="shared" si="19"/>
        <v>Within Target</v>
      </c>
      <c r="U257" s="1" t="str">
        <f t="shared" si="20"/>
        <v>2025-11</v>
      </c>
      <c r="V257" s="1" t="str">
        <f t="shared" si="21"/>
        <v>Good</v>
      </c>
      <c r="W257" s="1" t="str">
        <f t="shared" si="22"/>
        <v>Needs Coaching</v>
      </c>
      <c r="X257" s="1" t="str">
        <f t="shared" si="23"/>
        <v>Unique</v>
      </c>
    </row>
    <row r="258" spans="1:24" ht="15" customHeight="1">
      <c r="A258" s="1" t="str">
        <f>'Raw Tickets'!$A$258</f>
        <v>T00257</v>
      </c>
      <c r="B258" s="4">
        <f>'Raw Tickets'!$B$258</f>
        <v>45720</v>
      </c>
      <c r="C258" s="1" t="str">
        <f>'Raw Tickets'!$C$258</f>
        <v>A012</v>
      </c>
      <c r="D258" s="1" t="str">
        <f>'Raw Tickets'!$D$258</f>
        <v>Chat</v>
      </c>
      <c r="E258" s="1" t="str">
        <f>'Raw Tickets'!$E$258</f>
        <v>Refund</v>
      </c>
      <c r="F258" s="1" t="str">
        <f>'Raw Tickets'!$F$258</f>
        <v>Low</v>
      </c>
      <c r="G258" s="1">
        <f>'Raw Tickets'!$G$258</f>
        <v>24.9</v>
      </c>
      <c r="H258" s="1">
        <f>'Raw Tickets'!$H$258</f>
        <v>39</v>
      </c>
      <c r="I258" s="1">
        <f>'Raw Tickets'!$I$258</f>
        <v>4</v>
      </c>
      <c r="J258" s="6">
        <f>'Raw Tickets'!$J$258</f>
        <v>100</v>
      </c>
      <c r="K258" s="1" t="str">
        <f>'Raw Tickets'!$K$258</f>
        <v>Closed</v>
      </c>
      <c r="L258" s="1" t="str">
        <f>'Raw Tickets'!$L$258</f>
        <v>No</v>
      </c>
      <c r="M258" s="1" t="str">
        <f>'Raw Tickets'!$M$258</f>
        <v>No</v>
      </c>
      <c r="N258" s="1" t="str">
        <f>IFERROR(VLOOKUP(C258,Agents!$A$2:$E$26,2,FALSE),"")</f>
        <v>Ankit Khan</v>
      </c>
      <c r="O258" s="1" t="str">
        <f>IFERROR(INDEX(Agents!$D$2:$D$26,MATCH(C258,Agents!$A$2:$A$26,0)),"")</f>
        <v>Chat Support</v>
      </c>
      <c r="P258" s="1" t="str">
        <f>IFERROR(VLOOKUP(C258,Agents!$A$2:$E$26,3,FALSE),"")</f>
        <v>Nitin Gupta</v>
      </c>
      <c r="Q258" s="1" t="str">
        <f>IFERROR(VLOOKUP(C258,Agents!$A$2:$E$26,5,FALSE),"")</f>
        <v>Bengaluru</v>
      </c>
      <c r="R258" s="1">
        <f>IFERROR(VLOOKUP(F258,#REF!,2,FALSE),0)</f>
        <v>0</v>
      </c>
      <c r="S258" s="1" t="str">
        <f t="shared" ref="S258:S321" si="24">IF(G258&lt;=R258,"Met","Breached")</f>
        <v>Breached</v>
      </c>
      <c r="T258" s="1" t="str">
        <f t="shared" ref="T258:T321" si="25">IF(H258&lt;=30,"Within Target","Late")</f>
        <v>Late</v>
      </c>
      <c r="U258" s="1" t="str">
        <f t="shared" ref="U258:U321" si="26">TEXT(B258,"yyyy-mm")</f>
        <v>2025-03</v>
      </c>
      <c r="V258" s="1" t="str">
        <f t="shared" ref="V258:V321" si="27">IF(I258&gt;=4,"Good",IF(I258=3,"Average","Poor"))</f>
        <v>Good</v>
      </c>
      <c r="W258" s="1" t="str">
        <f t="shared" ref="W258:W321" si="28">IF(J258&gt;=85,"Pass","Needs Coaching")</f>
        <v>Pass</v>
      </c>
      <c r="X258" s="1" t="str">
        <f t="shared" ref="X258:X321" si="29">IF(COUNTIF($A$2:$A$501,A258)&gt;1,"Duplicate","Unique")</f>
        <v>Unique</v>
      </c>
    </row>
    <row r="259" spans="1:24" ht="15" customHeight="1">
      <c r="A259" s="1" t="str">
        <f>'Raw Tickets'!$A$259</f>
        <v>T00258</v>
      </c>
      <c r="B259" s="4">
        <f>'Raw Tickets'!$B$259</f>
        <v>45696</v>
      </c>
      <c r="C259" s="1" t="str">
        <f>'Raw Tickets'!$C$259</f>
        <v>A006</v>
      </c>
      <c r="D259" s="1" t="str">
        <f>'Raw Tickets'!$D$259</f>
        <v>Email</v>
      </c>
      <c r="E259" s="1" t="str">
        <f>'Raw Tickets'!$E$259</f>
        <v>Account Issue</v>
      </c>
      <c r="F259" s="1" t="str">
        <f>'Raw Tickets'!$F$259</f>
        <v>Medium</v>
      </c>
      <c r="G259" s="1">
        <f>'Raw Tickets'!$G$259</f>
        <v>16.8</v>
      </c>
      <c r="H259" s="1">
        <f>'Raw Tickets'!$H$259</f>
        <v>45</v>
      </c>
      <c r="I259" s="1">
        <f>'Raw Tickets'!$I$259</f>
        <v>5</v>
      </c>
      <c r="J259" s="6">
        <f>'Raw Tickets'!$J$259</f>
        <v>69.400000000000006</v>
      </c>
      <c r="K259" s="1" t="str">
        <f>'Raw Tickets'!$K$259</f>
        <v>Closed</v>
      </c>
      <c r="L259" s="1" t="str">
        <f>'Raw Tickets'!$L$259</f>
        <v>No</v>
      </c>
      <c r="M259" s="1" t="str">
        <f>'Raw Tickets'!$M$259</f>
        <v>No</v>
      </c>
      <c r="N259" s="1" t="str">
        <f>IFERROR(VLOOKUP(C259,Agents!$A$2:$E$26,2,FALSE),"")</f>
        <v>Divya Shah</v>
      </c>
      <c r="O259" s="1" t="str">
        <f>IFERROR(INDEX(Agents!$D$2:$D$26,MATCH(C259,Agents!$A$2:$A$26,0)),"")</f>
        <v>Voice Support</v>
      </c>
      <c r="P259" s="1" t="str">
        <f>IFERROR(VLOOKUP(C259,Agents!$A$2:$E$26,3,FALSE),"")</f>
        <v>Kritika Shah</v>
      </c>
      <c r="Q259" s="1" t="str">
        <f>IFERROR(VLOOKUP(C259,Agents!$A$2:$E$26,5,FALSE),"")</f>
        <v>Gurugram</v>
      </c>
      <c r="R259" s="1">
        <f>IFERROR(VLOOKUP(F259,#REF!,2,FALSE),0)</f>
        <v>0</v>
      </c>
      <c r="S259" s="1" t="str">
        <f t="shared" si="24"/>
        <v>Breached</v>
      </c>
      <c r="T259" s="1" t="str">
        <f t="shared" si="25"/>
        <v>Late</v>
      </c>
      <c r="U259" s="1" t="str">
        <f t="shared" si="26"/>
        <v>2025-02</v>
      </c>
      <c r="V259" s="1" t="str">
        <f t="shared" si="27"/>
        <v>Good</v>
      </c>
      <c r="W259" s="1" t="str">
        <f t="shared" si="28"/>
        <v>Needs Coaching</v>
      </c>
      <c r="X259" s="1" t="str">
        <f t="shared" si="29"/>
        <v>Unique</v>
      </c>
    </row>
    <row r="260" spans="1:24" ht="15" customHeight="1">
      <c r="A260" s="1" t="str">
        <f>'Raw Tickets'!$A$260</f>
        <v>T00259</v>
      </c>
      <c r="B260" s="4">
        <f>'Raw Tickets'!$B$260</f>
        <v>45862</v>
      </c>
      <c r="C260" s="1" t="str">
        <f>'Raw Tickets'!$C$260</f>
        <v>A013</v>
      </c>
      <c r="D260" s="1" t="str">
        <f>'Raw Tickets'!$D$260</f>
        <v>Email</v>
      </c>
      <c r="E260" s="1" t="str">
        <f>'Raw Tickets'!$E$260</f>
        <v>Account Issue</v>
      </c>
      <c r="F260" s="1" t="str">
        <f>'Raw Tickets'!$F$260</f>
        <v>Low</v>
      </c>
      <c r="G260" s="1">
        <f>'Raw Tickets'!$G$260</f>
        <v>74.5</v>
      </c>
      <c r="H260" s="1">
        <f>'Raw Tickets'!$H$260</f>
        <v>11</v>
      </c>
      <c r="I260" s="1">
        <f>'Raw Tickets'!$I$260</f>
        <v>5</v>
      </c>
      <c r="J260" s="6">
        <f>'Raw Tickets'!$J$260</f>
        <v>82.9</v>
      </c>
      <c r="K260" s="1" t="str">
        <f>'Raw Tickets'!$K$260</f>
        <v>Closed</v>
      </c>
      <c r="L260" s="1" t="str">
        <f>'Raw Tickets'!$L$260</f>
        <v>No</v>
      </c>
      <c r="M260" s="1" t="str">
        <f>'Raw Tickets'!$M$260</f>
        <v>No</v>
      </c>
      <c r="N260" s="1" t="str">
        <f>IFERROR(VLOOKUP(C260,Agents!$A$2:$E$26,2,FALSE),"")</f>
        <v>Ananya Jain</v>
      </c>
      <c r="O260" s="1" t="str">
        <f>IFERROR(INDEX(Agents!$D$2:$D$26,MATCH(C260,Agents!$A$2:$A$26,0)),"")</f>
        <v>Chat Support</v>
      </c>
      <c r="P260" s="1" t="str">
        <f>IFERROR(VLOOKUP(C260,Agents!$A$2:$E$26,3,FALSE),"")</f>
        <v>Nitin Gupta</v>
      </c>
      <c r="Q260" s="1" t="str">
        <f>IFERROR(VLOOKUP(C260,Agents!$A$2:$E$26,5,FALSE),"")</f>
        <v>Hyderabad</v>
      </c>
      <c r="R260" s="1">
        <f>IFERROR(VLOOKUP(F260,#REF!,2,FALSE),0)</f>
        <v>0</v>
      </c>
      <c r="S260" s="1" t="str">
        <f t="shared" si="24"/>
        <v>Breached</v>
      </c>
      <c r="T260" s="1" t="str">
        <f t="shared" si="25"/>
        <v>Within Target</v>
      </c>
      <c r="U260" s="1" t="str">
        <f t="shared" si="26"/>
        <v>2025-07</v>
      </c>
      <c r="V260" s="1" t="str">
        <f t="shared" si="27"/>
        <v>Good</v>
      </c>
      <c r="W260" s="1" t="str">
        <f t="shared" si="28"/>
        <v>Needs Coaching</v>
      </c>
      <c r="X260" s="1" t="str">
        <f t="shared" si="29"/>
        <v>Unique</v>
      </c>
    </row>
    <row r="261" spans="1:24" ht="15" customHeight="1">
      <c r="A261" s="1" t="str">
        <f>'Raw Tickets'!$A$261</f>
        <v>T00260</v>
      </c>
      <c r="B261" s="4">
        <f>'Raw Tickets'!$B$261</f>
        <v>45725</v>
      </c>
      <c r="C261" s="1" t="str">
        <f>'Raw Tickets'!$C$261</f>
        <v>A009</v>
      </c>
      <c r="D261" s="1" t="str">
        <f>'Raw Tickets'!$D$261</f>
        <v>Chat</v>
      </c>
      <c r="E261" s="1" t="str">
        <f>'Raw Tickets'!$E$261</f>
        <v>Delivery Delay</v>
      </c>
      <c r="F261" s="1" t="str">
        <f>'Raw Tickets'!$F$261</f>
        <v>Low</v>
      </c>
      <c r="G261" s="1">
        <f>'Raw Tickets'!$G$261</f>
        <v>23.4</v>
      </c>
      <c r="H261" s="1">
        <f>'Raw Tickets'!$H$261</f>
        <v>31</v>
      </c>
      <c r="I261" s="1">
        <f>'Raw Tickets'!$I$261</f>
        <v>4</v>
      </c>
      <c r="J261" s="6">
        <f>'Raw Tickets'!$J$261</f>
        <v>93.6</v>
      </c>
      <c r="K261" s="1" t="str">
        <f>'Raw Tickets'!$K$261</f>
        <v>Closed</v>
      </c>
      <c r="L261" s="1" t="str">
        <f>'Raw Tickets'!$L$261</f>
        <v>No</v>
      </c>
      <c r="M261" s="1" t="str">
        <f>'Raw Tickets'!$M$261</f>
        <v>No</v>
      </c>
      <c r="N261" s="1" t="str">
        <f>IFERROR(VLOOKUP(C261,Agents!$A$2:$E$26,2,FALSE),"")</f>
        <v>Divya Mehta</v>
      </c>
      <c r="O261" s="1" t="str">
        <f>IFERROR(INDEX(Agents!$D$2:$D$26,MATCH(C261,Agents!$A$2:$A$26,0)),"")</f>
        <v>Voice Support</v>
      </c>
      <c r="P261" s="1" t="str">
        <f>IFERROR(VLOOKUP(C261,Agents!$A$2:$E$26,3,FALSE),"")</f>
        <v>Kritika Shah</v>
      </c>
      <c r="Q261" s="1" t="str">
        <f>IFERROR(VLOOKUP(C261,Agents!$A$2:$E$26,5,FALSE),"")</f>
        <v>Gurugram</v>
      </c>
      <c r="R261" s="1">
        <f>IFERROR(VLOOKUP(F261,#REF!,2,FALSE),0)</f>
        <v>0</v>
      </c>
      <c r="S261" s="1" t="str">
        <f t="shared" si="24"/>
        <v>Breached</v>
      </c>
      <c r="T261" s="1" t="str">
        <f t="shared" si="25"/>
        <v>Late</v>
      </c>
      <c r="U261" s="1" t="str">
        <f t="shared" si="26"/>
        <v>2025-03</v>
      </c>
      <c r="V261" s="1" t="str">
        <f t="shared" si="27"/>
        <v>Good</v>
      </c>
      <c r="W261" s="1" t="str">
        <f t="shared" si="28"/>
        <v>Pass</v>
      </c>
      <c r="X261" s="1" t="str">
        <f t="shared" si="29"/>
        <v>Unique</v>
      </c>
    </row>
    <row r="262" spans="1:24" ht="15" customHeight="1">
      <c r="A262" s="1" t="str">
        <f>'Raw Tickets'!$A$262</f>
        <v>T00261</v>
      </c>
      <c r="B262" s="4">
        <f>'Raw Tickets'!$B$262</f>
        <v>45994</v>
      </c>
      <c r="C262" s="1" t="str">
        <f>'Raw Tickets'!$C$262</f>
        <v>A018</v>
      </c>
      <c r="D262" s="1" t="str">
        <f>'Raw Tickets'!$D$262</f>
        <v>Call</v>
      </c>
      <c r="E262" s="1" t="str">
        <f>'Raw Tickets'!$E$262</f>
        <v>Payment Failure</v>
      </c>
      <c r="F262" s="1" t="str">
        <f>'Raw Tickets'!$F$262</f>
        <v>Low</v>
      </c>
      <c r="G262" s="1">
        <f>'Raw Tickets'!$G$262</f>
        <v>35.5</v>
      </c>
      <c r="H262" s="1">
        <f>'Raw Tickets'!$H$262</f>
        <v>72</v>
      </c>
      <c r="I262" s="1">
        <f>'Raw Tickets'!$I$262</f>
        <v>4</v>
      </c>
      <c r="J262" s="6">
        <f>'Raw Tickets'!$J$262</f>
        <v>98.5</v>
      </c>
      <c r="K262" s="1" t="str">
        <f>'Raw Tickets'!$K$262</f>
        <v>Closed</v>
      </c>
      <c r="L262" s="1" t="str">
        <f>'Raw Tickets'!$L$262</f>
        <v>No</v>
      </c>
      <c r="M262" s="1" t="str">
        <f>'Raw Tickets'!$M$262</f>
        <v>No</v>
      </c>
      <c r="N262" s="1" t="str">
        <f>IFERROR(VLOOKUP(C262,Agents!$A$2:$E$26,2,FALSE),"")</f>
        <v>Rahul Verma</v>
      </c>
      <c r="O262" s="1" t="str">
        <f>IFERROR(INDEX(Agents!$D$2:$D$26,MATCH(C262,Agents!$A$2:$A$26,0)),"")</f>
        <v>Escalations</v>
      </c>
      <c r="P262" s="1" t="str">
        <f>IFERROR(VLOOKUP(C262,Agents!$A$2:$E$26,3,FALSE),"")</f>
        <v>Pallavi Rao</v>
      </c>
      <c r="Q262" s="1" t="str">
        <f>IFERROR(VLOOKUP(C262,Agents!$A$2:$E$26,5,FALSE),"")</f>
        <v>Hyderabad</v>
      </c>
      <c r="R262" s="1">
        <f>IFERROR(VLOOKUP(F262,#REF!,2,FALSE),0)</f>
        <v>0</v>
      </c>
      <c r="S262" s="1" t="str">
        <f t="shared" si="24"/>
        <v>Breached</v>
      </c>
      <c r="T262" s="1" t="str">
        <f t="shared" si="25"/>
        <v>Late</v>
      </c>
      <c r="U262" s="1" t="str">
        <f t="shared" si="26"/>
        <v>2025-12</v>
      </c>
      <c r="V262" s="1" t="str">
        <f t="shared" si="27"/>
        <v>Good</v>
      </c>
      <c r="W262" s="1" t="str">
        <f t="shared" si="28"/>
        <v>Pass</v>
      </c>
      <c r="X262" s="1" t="str">
        <f t="shared" si="29"/>
        <v>Unique</v>
      </c>
    </row>
    <row r="263" spans="1:24" ht="15" customHeight="1">
      <c r="A263" s="1" t="str">
        <f>'Raw Tickets'!$A$263</f>
        <v>T00262</v>
      </c>
      <c r="B263" s="4">
        <f>'Raw Tickets'!$B$263</f>
        <v>45718</v>
      </c>
      <c r="C263" s="1" t="str">
        <f>'Raw Tickets'!$C$263</f>
        <v>A004</v>
      </c>
      <c r="D263" s="1" t="str">
        <f>'Raw Tickets'!$D$263</f>
        <v>Chat</v>
      </c>
      <c r="E263" s="1" t="str">
        <f>'Raw Tickets'!$E$263</f>
        <v>Payment Failure</v>
      </c>
      <c r="F263" s="1" t="str">
        <f>'Raw Tickets'!$F$263</f>
        <v>Low</v>
      </c>
      <c r="G263" s="1">
        <f>'Raw Tickets'!$G$263</f>
        <v>6.8</v>
      </c>
      <c r="H263" s="1">
        <f>'Raw Tickets'!$H$263</f>
        <v>28</v>
      </c>
      <c r="I263" s="1">
        <f>'Raw Tickets'!$I$263</f>
        <v>4</v>
      </c>
      <c r="J263" s="6">
        <f>'Raw Tickets'!$J$263</f>
        <v>77.7</v>
      </c>
      <c r="K263" s="1" t="str">
        <f>'Raw Tickets'!$K$263</f>
        <v>Closed</v>
      </c>
      <c r="L263" s="1" t="str">
        <f>'Raw Tickets'!$L$263</f>
        <v>No</v>
      </c>
      <c r="M263" s="1" t="str">
        <f>'Raw Tickets'!$M$263</f>
        <v>No</v>
      </c>
      <c r="N263" s="1" t="str">
        <f>IFERROR(VLOOKUP(C263,Agents!$A$2:$E$26,2,FALSE),"")</f>
        <v>Arjun Agarwal</v>
      </c>
      <c r="O263" s="1" t="str">
        <f>IFERROR(INDEX(Agents!$D$2:$D$26,MATCH(C263,Agents!$A$2:$A$26,0)),"")</f>
        <v>Email Support</v>
      </c>
      <c r="P263" s="1" t="str">
        <f>IFERROR(VLOOKUP(C263,Agents!$A$2:$E$26,3,FALSE),"")</f>
        <v>Aman Verma</v>
      </c>
      <c r="Q263" s="1" t="str">
        <f>IFERROR(VLOOKUP(C263,Agents!$A$2:$E$26,5,FALSE),"")</f>
        <v>Bengaluru</v>
      </c>
      <c r="R263" s="1">
        <f>IFERROR(VLOOKUP(F263,#REF!,2,FALSE),0)</f>
        <v>0</v>
      </c>
      <c r="S263" s="1" t="str">
        <f t="shared" si="24"/>
        <v>Breached</v>
      </c>
      <c r="T263" s="1" t="str">
        <f t="shared" si="25"/>
        <v>Within Target</v>
      </c>
      <c r="U263" s="1" t="str">
        <f t="shared" si="26"/>
        <v>2025-03</v>
      </c>
      <c r="V263" s="1" t="str">
        <f t="shared" si="27"/>
        <v>Good</v>
      </c>
      <c r="W263" s="1" t="str">
        <f t="shared" si="28"/>
        <v>Needs Coaching</v>
      </c>
      <c r="X263" s="1" t="str">
        <f t="shared" si="29"/>
        <v>Unique</v>
      </c>
    </row>
    <row r="264" spans="1:24" ht="15" customHeight="1">
      <c r="A264" s="1" t="str">
        <f>'Raw Tickets'!$A$264</f>
        <v>T00263</v>
      </c>
      <c r="B264" s="4">
        <f>'Raw Tickets'!$B$264</f>
        <v>45925</v>
      </c>
      <c r="C264" s="1" t="str">
        <f>'Raw Tickets'!$C$264</f>
        <v>A008</v>
      </c>
      <c r="D264" s="1" t="str">
        <f>'Raw Tickets'!$D$264</f>
        <v>Chat</v>
      </c>
      <c r="E264" s="1" t="str">
        <f>'Raw Tickets'!$E$264</f>
        <v>Account Issue</v>
      </c>
      <c r="F264" s="1" t="str">
        <f>'Raw Tickets'!$F$264</f>
        <v>Low</v>
      </c>
      <c r="G264" s="1">
        <f>'Raw Tickets'!$G$264</f>
        <v>55.8</v>
      </c>
      <c r="H264" s="1">
        <f>'Raw Tickets'!$H$264</f>
        <v>20</v>
      </c>
      <c r="I264" s="1">
        <f>'Raw Tickets'!$I$264</f>
        <v>3</v>
      </c>
      <c r="J264" s="6">
        <f>'Raw Tickets'!$J$264</f>
        <v>81.5</v>
      </c>
      <c r="K264" s="1" t="str">
        <f>'Raw Tickets'!$K$264</f>
        <v>Closed</v>
      </c>
      <c r="L264" s="1" t="str">
        <f>'Raw Tickets'!$L$264</f>
        <v>Yes</v>
      </c>
      <c r="M264" s="1" t="str">
        <f>'Raw Tickets'!$M$264</f>
        <v>No</v>
      </c>
      <c r="N264" s="1" t="str">
        <f>IFERROR(VLOOKUP(C264,Agents!$A$2:$E$26,2,FALSE),"")</f>
        <v>Ananya Mishra</v>
      </c>
      <c r="O264" s="1" t="str">
        <f>IFERROR(INDEX(Agents!$D$2:$D$26,MATCH(C264,Agents!$A$2:$A$26,0)),"")</f>
        <v>Voice Support</v>
      </c>
      <c r="P264" s="1" t="str">
        <f>IFERROR(VLOOKUP(C264,Agents!$A$2:$E$26,3,FALSE),"")</f>
        <v>Kritika Shah</v>
      </c>
      <c r="Q264" s="1" t="str">
        <f>IFERROR(VLOOKUP(C264,Agents!$A$2:$E$26,5,FALSE),"")</f>
        <v>Hyderabad</v>
      </c>
      <c r="R264" s="1">
        <f>IFERROR(VLOOKUP(F264,#REF!,2,FALSE),0)</f>
        <v>0</v>
      </c>
      <c r="S264" s="1" t="str">
        <f t="shared" si="24"/>
        <v>Breached</v>
      </c>
      <c r="T264" s="1" t="str">
        <f t="shared" si="25"/>
        <v>Within Target</v>
      </c>
      <c r="U264" s="1" t="str">
        <f t="shared" si="26"/>
        <v>2025-09</v>
      </c>
      <c r="V264" s="1" t="str">
        <f t="shared" si="27"/>
        <v>Average</v>
      </c>
      <c r="W264" s="1" t="str">
        <f t="shared" si="28"/>
        <v>Needs Coaching</v>
      </c>
      <c r="X264" s="1" t="str">
        <f t="shared" si="29"/>
        <v>Unique</v>
      </c>
    </row>
    <row r="265" spans="1:24" ht="15" customHeight="1">
      <c r="A265" s="1" t="str">
        <f>'Raw Tickets'!$A$265</f>
        <v>T00264</v>
      </c>
      <c r="B265" s="4">
        <f>'Raw Tickets'!$B$265</f>
        <v>45688</v>
      </c>
      <c r="C265" s="1" t="str">
        <f>'Raw Tickets'!$C$265</f>
        <v>A025</v>
      </c>
      <c r="D265" s="1" t="str">
        <f>'Raw Tickets'!$D$265</f>
        <v>Chat</v>
      </c>
      <c r="E265" s="1" t="str">
        <f>'Raw Tickets'!$E$265</f>
        <v>Product Quality</v>
      </c>
      <c r="F265" s="1" t="str">
        <f>'Raw Tickets'!$F$265</f>
        <v>Low</v>
      </c>
      <c r="G265" s="1">
        <f>'Raw Tickets'!$G$265</f>
        <v>57.2</v>
      </c>
      <c r="H265" s="1">
        <f>'Raw Tickets'!$H$265</f>
        <v>44</v>
      </c>
      <c r="I265" s="1">
        <f>'Raw Tickets'!$I$265</f>
        <v>4</v>
      </c>
      <c r="J265" s="6">
        <f>'Raw Tickets'!$J$265</f>
        <v>96.4</v>
      </c>
      <c r="K265" s="1" t="str">
        <f>'Raw Tickets'!$K$265</f>
        <v>Closed</v>
      </c>
      <c r="L265" s="1" t="str">
        <f>'Raw Tickets'!$L$265</f>
        <v>No</v>
      </c>
      <c r="M265" s="1" t="str">
        <f>'Raw Tickets'!$M$265</f>
        <v>No</v>
      </c>
      <c r="N265" s="1" t="str">
        <f>IFERROR(VLOOKUP(C265,Agents!$A$2:$E$26,2,FALSE),"")</f>
        <v>Arjun Nair</v>
      </c>
      <c r="O265" s="1" t="str">
        <f>IFERROR(INDEX(Agents!$D$2:$D$26,MATCH(C265,Agents!$A$2:$A$26,0)),"")</f>
        <v>Seller Support</v>
      </c>
      <c r="P265" s="1" t="str">
        <f>IFERROR(VLOOKUP(C265,Agents!$A$2:$E$26,3,FALSE),"")</f>
        <v>Vivek Jain</v>
      </c>
      <c r="Q265" s="1" t="str">
        <f>IFERROR(VLOOKUP(C265,Agents!$A$2:$E$26,5,FALSE),"")</f>
        <v>Noida</v>
      </c>
      <c r="R265" s="1">
        <f>IFERROR(VLOOKUP(F265,#REF!,2,FALSE),0)</f>
        <v>0</v>
      </c>
      <c r="S265" s="1" t="str">
        <f t="shared" si="24"/>
        <v>Breached</v>
      </c>
      <c r="T265" s="1" t="str">
        <f t="shared" si="25"/>
        <v>Late</v>
      </c>
      <c r="U265" s="1" t="str">
        <f t="shared" si="26"/>
        <v>2025-01</v>
      </c>
      <c r="V265" s="1" t="str">
        <f t="shared" si="27"/>
        <v>Good</v>
      </c>
      <c r="W265" s="1" t="str">
        <f t="shared" si="28"/>
        <v>Pass</v>
      </c>
      <c r="X265" s="1" t="str">
        <f t="shared" si="29"/>
        <v>Unique</v>
      </c>
    </row>
    <row r="266" spans="1:24" ht="15" customHeight="1">
      <c r="A266" s="1" t="str">
        <f>'Raw Tickets'!$A$266</f>
        <v>T00265</v>
      </c>
      <c r="B266" s="4">
        <f>'Raw Tickets'!$B$266</f>
        <v>45677</v>
      </c>
      <c r="C266" s="1" t="str">
        <f>'Raw Tickets'!$C$266</f>
        <v>A014</v>
      </c>
      <c r="D266" s="1" t="str">
        <f>'Raw Tickets'!$D$266</f>
        <v>Call</v>
      </c>
      <c r="E266" s="1" t="str">
        <f>'Raw Tickets'!$E$266</f>
        <v>Account Issue</v>
      </c>
      <c r="F266" s="1" t="str">
        <f>'Raw Tickets'!$F$266</f>
        <v>Medium</v>
      </c>
      <c r="G266" s="1">
        <f>'Raw Tickets'!$G$266</f>
        <v>12.9</v>
      </c>
      <c r="H266" s="1">
        <f>'Raw Tickets'!$H$266</f>
        <v>49</v>
      </c>
      <c r="I266" s="1">
        <f>'Raw Tickets'!$I$266</f>
        <v>3</v>
      </c>
      <c r="J266" s="6">
        <f>'Raw Tickets'!$J$266</f>
        <v>88.3</v>
      </c>
      <c r="K266" s="1" t="str">
        <f>'Raw Tickets'!$K$266</f>
        <v>Closed</v>
      </c>
      <c r="L266" s="1" t="str">
        <f>'Raw Tickets'!$L$266</f>
        <v>No</v>
      </c>
      <c r="M266" s="1" t="str">
        <f>'Raw Tickets'!$M$266</f>
        <v>No</v>
      </c>
      <c r="N266" s="1" t="str">
        <f>IFERROR(VLOOKUP(C266,Agents!$A$2:$E$26,2,FALSE),"")</f>
        <v>Ananya Jain</v>
      </c>
      <c r="O266" s="1" t="str">
        <f>IFERROR(INDEX(Agents!$D$2:$D$26,MATCH(C266,Agents!$A$2:$A$26,0)),"")</f>
        <v>Chat Support</v>
      </c>
      <c r="P266" s="1" t="str">
        <f>IFERROR(VLOOKUP(C266,Agents!$A$2:$E$26,3,FALSE),"")</f>
        <v>Nitin Gupta</v>
      </c>
      <c r="Q266" s="1" t="str">
        <f>IFERROR(VLOOKUP(C266,Agents!$A$2:$E$26,5,FALSE),"")</f>
        <v>Bengaluru</v>
      </c>
      <c r="R266" s="1">
        <f>IFERROR(VLOOKUP(F266,#REF!,2,FALSE),0)</f>
        <v>0</v>
      </c>
      <c r="S266" s="1" t="str">
        <f t="shared" si="24"/>
        <v>Breached</v>
      </c>
      <c r="T266" s="1" t="str">
        <f t="shared" si="25"/>
        <v>Late</v>
      </c>
      <c r="U266" s="1" t="str">
        <f t="shared" si="26"/>
        <v>2025-01</v>
      </c>
      <c r="V266" s="1" t="str">
        <f t="shared" si="27"/>
        <v>Average</v>
      </c>
      <c r="W266" s="1" t="str">
        <f t="shared" si="28"/>
        <v>Pass</v>
      </c>
      <c r="X266" s="1" t="str">
        <f t="shared" si="29"/>
        <v>Unique</v>
      </c>
    </row>
    <row r="267" spans="1:24" ht="15" customHeight="1">
      <c r="A267" s="1" t="str">
        <f>'Raw Tickets'!$A$267</f>
        <v>T00266</v>
      </c>
      <c r="B267" s="4">
        <f>'Raw Tickets'!$B$267</f>
        <v>45914</v>
      </c>
      <c r="C267" s="1" t="str">
        <f>'Raw Tickets'!$C$267</f>
        <v>A012</v>
      </c>
      <c r="D267" s="1" t="str">
        <f>'Raw Tickets'!$D$267</f>
        <v>Call</v>
      </c>
      <c r="E267" s="1" t="str">
        <f>'Raw Tickets'!$E$267</f>
        <v>Account Issue</v>
      </c>
      <c r="F267" s="1" t="str">
        <f>'Raw Tickets'!$F$267</f>
        <v>Low</v>
      </c>
      <c r="G267" s="1">
        <f>'Raw Tickets'!$G$267</f>
        <v>34.299999999999997</v>
      </c>
      <c r="H267" s="1">
        <f>'Raw Tickets'!$H$267</f>
        <v>15</v>
      </c>
      <c r="I267" s="1">
        <f>'Raw Tickets'!$I$267</f>
        <v>3</v>
      </c>
      <c r="J267" s="6">
        <f>'Raw Tickets'!$J$267</f>
        <v>85.2</v>
      </c>
      <c r="K267" s="1" t="str">
        <f>'Raw Tickets'!$K$267</f>
        <v>Closed</v>
      </c>
      <c r="L267" s="1" t="str">
        <f>'Raw Tickets'!$L$267</f>
        <v>No</v>
      </c>
      <c r="M267" s="1" t="str">
        <f>'Raw Tickets'!$M$267</f>
        <v>No</v>
      </c>
      <c r="N267" s="1" t="str">
        <f>IFERROR(VLOOKUP(C267,Agents!$A$2:$E$26,2,FALSE),"")</f>
        <v>Ankit Khan</v>
      </c>
      <c r="O267" s="1" t="str">
        <f>IFERROR(INDEX(Agents!$D$2:$D$26,MATCH(C267,Agents!$A$2:$A$26,0)),"")</f>
        <v>Chat Support</v>
      </c>
      <c r="P267" s="1" t="str">
        <f>IFERROR(VLOOKUP(C267,Agents!$A$2:$E$26,3,FALSE),"")</f>
        <v>Nitin Gupta</v>
      </c>
      <c r="Q267" s="1" t="str">
        <f>IFERROR(VLOOKUP(C267,Agents!$A$2:$E$26,5,FALSE),"")</f>
        <v>Bengaluru</v>
      </c>
      <c r="R267" s="1">
        <f>IFERROR(VLOOKUP(F267,#REF!,2,FALSE),0)</f>
        <v>0</v>
      </c>
      <c r="S267" s="1" t="str">
        <f t="shared" si="24"/>
        <v>Breached</v>
      </c>
      <c r="T267" s="1" t="str">
        <f t="shared" si="25"/>
        <v>Within Target</v>
      </c>
      <c r="U267" s="1" t="str">
        <f t="shared" si="26"/>
        <v>2025-09</v>
      </c>
      <c r="V267" s="1" t="str">
        <f t="shared" si="27"/>
        <v>Average</v>
      </c>
      <c r="W267" s="1" t="str">
        <f t="shared" si="28"/>
        <v>Pass</v>
      </c>
      <c r="X267" s="1" t="str">
        <f t="shared" si="29"/>
        <v>Unique</v>
      </c>
    </row>
    <row r="268" spans="1:24" ht="15" customHeight="1">
      <c r="A268" s="1" t="str">
        <f>'Raw Tickets'!$A$268</f>
        <v>T00267</v>
      </c>
      <c r="B268" s="4">
        <f>'Raw Tickets'!$B$268</f>
        <v>45909</v>
      </c>
      <c r="C268" s="1" t="str">
        <f>'Raw Tickets'!$C$268</f>
        <v>A020</v>
      </c>
      <c r="D268" s="1" t="str">
        <f>'Raw Tickets'!$D$268</f>
        <v>Call</v>
      </c>
      <c r="E268" s="1" t="str">
        <f>'Raw Tickets'!$E$268</f>
        <v>Refund</v>
      </c>
      <c r="F268" s="1" t="str">
        <f>'Raw Tickets'!$F$268</f>
        <v>Low</v>
      </c>
      <c r="G268" s="1">
        <f>'Raw Tickets'!$G$268</f>
        <v>45</v>
      </c>
      <c r="H268" s="1">
        <f>'Raw Tickets'!$H$268</f>
        <v>81</v>
      </c>
      <c r="I268" s="1">
        <f>'Raw Tickets'!$I$268</f>
        <v>4</v>
      </c>
      <c r="J268" s="6">
        <f>'Raw Tickets'!$J$268</f>
        <v>87.2</v>
      </c>
      <c r="K268" s="1" t="str">
        <f>'Raw Tickets'!$K$268</f>
        <v>Closed</v>
      </c>
      <c r="L268" s="1" t="str">
        <f>'Raw Tickets'!$L$268</f>
        <v>No</v>
      </c>
      <c r="M268" s="1" t="str">
        <f>'Raw Tickets'!$M$268</f>
        <v>No</v>
      </c>
      <c r="N268" s="1" t="str">
        <f>IFERROR(VLOOKUP(C268,Agents!$A$2:$E$26,2,FALSE),"")</f>
        <v>Aditi Bansal</v>
      </c>
      <c r="O268" s="1" t="str">
        <f>IFERROR(INDEX(Agents!$D$2:$D$26,MATCH(C268,Agents!$A$2:$A$26,0)),"")</f>
        <v>Escalations</v>
      </c>
      <c r="P268" s="1" t="str">
        <f>IFERROR(VLOOKUP(C268,Agents!$A$2:$E$26,3,FALSE),"")</f>
        <v>Pallavi Rao</v>
      </c>
      <c r="Q268" s="1" t="str">
        <f>IFERROR(VLOOKUP(C268,Agents!$A$2:$E$26,5,FALSE),"")</f>
        <v>Noida</v>
      </c>
      <c r="R268" s="1">
        <f>IFERROR(VLOOKUP(F268,#REF!,2,FALSE),0)</f>
        <v>0</v>
      </c>
      <c r="S268" s="1" t="str">
        <f t="shared" si="24"/>
        <v>Breached</v>
      </c>
      <c r="T268" s="1" t="str">
        <f t="shared" si="25"/>
        <v>Late</v>
      </c>
      <c r="U268" s="1" t="str">
        <f t="shared" si="26"/>
        <v>2025-09</v>
      </c>
      <c r="V268" s="1" t="str">
        <f t="shared" si="27"/>
        <v>Good</v>
      </c>
      <c r="W268" s="1" t="str">
        <f t="shared" si="28"/>
        <v>Pass</v>
      </c>
      <c r="X268" s="1" t="str">
        <f t="shared" si="29"/>
        <v>Unique</v>
      </c>
    </row>
    <row r="269" spans="1:24" ht="15" customHeight="1">
      <c r="A269" s="1" t="str">
        <f>'Raw Tickets'!$A$269</f>
        <v>T00268</v>
      </c>
      <c r="B269" s="4">
        <f>'Raw Tickets'!$B$269</f>
        <v>45904</v>
      </c>
      <c r="C269" s="1" t="str">
        <f>'Raw Tickets'!$C$269</f>
        <v>A014</v>
      </c>
      <c r="D269" s="1" t="str">
        <f>'Raw Tickets'!$D$269</f>
        <v>Email</v>
      </c>
      <c r="E269" s="1" t="str">
        <f>'Raw Tickets'!$E$269</f>
        <v>Product Quality</v>
      </c>
      <c r="F269" s="1" t="str">
        <f>'Raw Tickets'!$F$269</f>
        <v>High</v>
      </c>
      <c r="G269" s="1">
        <f>'Raw Tickets'!$G$269</f>
        <v>7.3</v>
      </c>
      <c r="H269" s="1">
        <f>'Raw Tickets'!$H$269</f>
        <v>1</v>
      </c>
      <c r="I269" s="1">
        <f>'Raw Tickets'!$I$269</f>
        <v>5</v>
      </c>
      <c r="J269" s="6">
        <f>'Raw Tickets'!$J$269</f>
        <v>80.5</v>
      </c>
      <c r="K269" s="1" t="str">
        <f>'Raw Tickets'!$K$269</f>
        <v>Closed</v>
      </c>
      <c r="L269" s="1" t="str">
        <f>'Raw Tickets'!$L$269</f>
        <v>No</v>
      </c>
      <c r="M269" s="1" t="str">
        <f>'Raw Tickets'!$M$269</f>
        <v>No</v>
      </c>
      <c r="N269" s="1" t="str">
        <f>IFERROR(VLOOKUP(C269,Agents!$A$2:$E$26,2,FALSE),"")</f>
        <v>Ananya Jain</v>
      </c>
      <c r="O269" s="1" t="str">
        <f>IFERROR(INDEX(Agents!$D$2:$D$26,MATCH(C269,Agents!$A$2:$A$26,0)),"")</f>
        <v>Chat Support</v>
      </c>
      <c r="P269" s="1" t="str">
        <f>IFERROR(VLOOKUP(C269,Agents!$A$2:$E$26,3,FALSE),"")</f>
        <v>Nitin Gupta</v>
      </c>
      <c r="Q269" s="1" t="str">
        <f>IFERROR(VLOOKUP(C269,Agents!$A$2:$E$26,5,FALSE),"")</f>
        <v>Bengaluru</v>
      </c>
      <c r="R269" s="1">
        <f>IFERROR(VLOOKUP(F269,#REF!,2,FALSE),0)</f>
        <v>0</v>
      </c>
      <c r="S269" s="1" t="str">
        <f t="shared" si="24"/>
        <v>Breached</v>
      </c>
      <c r="T269" s="1" t="str">
        <f t="shared" si="25"/>
        <v>Within Target</v>
      </c>
      <c r="U269" s="1" t="str">
        <f t="shared" si="26"/>
        <v>2025-09</v>
      </c>
      <c r="V269" s="1" t="str">
        <f t="shared" si="27"/>
        <v>Good</v>
      </c>
      <c r="W269" s="1" t="str">
        <f t="shared" si="28"/>
        <v>Needs Coaching</v>
      </c>
      <c r="X269" s="1" t="str">
        <f t="shared" si="29"/>
        <v>Unique</v>
      </c>
    </row>
    <row r="270" spans="1:24" ht="15" customHeight="1">
      <c r="A270" s="1" t="str">
        <f>'Raw Tickets'!$A$270</f>
        <v>T00269</v>
      </c>
      <c r="B270" s="4">
        <f>'Raw Tickets'!$B$270</f>
        <v>45678</v>
      </c>
      <c r="C270" s="1" t="str">
        <f>'Raw Tickets'!$C$270</f>
        <v>A012</v>
      </c>
      <c r="D270" s="1" t="str">
        <f>'Raw Tickets'!$D$270</f>
        <v>Call</v>
      </c>
      <c r="E270" s="1" t="str">
        <f>'Raw Tickets'!$E$270</f>
        <v>Delivery Delay</v>
      </c>
      <c r="F270" s="1" t="str">
        <f>'Raw Tickets'!$F$270</f>
        <v>Low</v>
      </c>
      <c r="G270" s="1">
        <f>'Raw Tickets'!$G$270</f>
        <v>56.7</v>
      </c>
      <c r="H270" s="1">
        <f>'Raw Tickets'!$H$270</f>
        <v>32</v>
      </c>
      <c r="I270" s="1">
        <f>'Raw Tickets'!$I$270</f>
        <v>4</v>
      </c>
      <c r="J270" s="6">
        <f>'Raw Tickets'!$J$270</f>
        <v>82.3</v>
      </c>
      <c r="K270" s="1" t="str">
        <f>'Raw Tickets'!$K$270</f>
        <v>Closed</v>
      </c>
      <c r="L270" s="1" t="str">
        <f>'Raw Tickets'!$L$270</f>
        <v>No</v>
      </c>
      <c r="M270" s="1" t="str">
        <f>'Raw Tickets'!$M$270</f>
        <v>No</v>
      </c>
      <c r="N270" s="1" t="str">
        <f>IFERROR(VLOOKUP(C270,Agents!$A$2:$E$26,2,FALSE),"")</f>
        <v>Ankit Khan</v>
      </c>
      <c r="O270" s="1" t="str">
        <f>IFERROR(INDEX(Agents!$D$2:$D$26,MATCH(C270,Agents!$A$2:$A$26,0)),"")</f>
        <v>Chat Support</v>
      </c>
      <c r="P270" s="1" t="str">
        <f>IFERROR(VLOOKUP(C270,Agents!$A$2:$E$26,3,FALSE),"")</f>
        <v>Nitin Gupta</v>
      </c>
      <c r="Q270" s="1" t="str">
        <f>IFERROR(VLOOKUP(C270,Agents!$A$2:$E$26,5,FALSE),"")</f>
        <v>Bengaluru</v>
      </c>
      <c r="R270" s="1">
        <f>IFERROR(VLOOKUP(F270,#REF!,2,FALSE),0)</f>
        <v>0</v>
      </c>
      <c r="S270" s="1" t="str">
        <f t="shared" si="24"/>
        <v>Breached</v>
      </c>
      <c r="T270" s="1" t="str">
        <f t="shared" si="25"/>
        <v>Late</v>
      </c>
      <c r="U270" s="1" t="str">
        <f t="shared" si="26"/>
        <v>2025-01</v>
      </c>
      <c r="V270" s="1" t="str">
        <f t="shared" si="27"/>
        <v>Good</v>
      </c>
      <c r="W270" s="1" t="str">
        <f t="shared" si="28"/>
        <v>Needs Coaching</v>
      </c>
      <c r="X270" s="1" t="str">
        <f t="shared" si="29"/>
        <v>Unique</v>
      </c>
    </row>
    <row r="271" spans="1:24" ht="15" customHeight="1">
      <c r="A271" s="1" t="str">
        <f>'Raw Tickets'!$A$271</f>
        <v>T00270</v>
      </c>
      <c r="B271" s="4">
        <f>'Raw Tickets'!$B$271</f>
        <v>45980</v>
      </c>
      <c r="C271" s="1" t="str">
        <f>'Raw Tickets'!$C$271</f>
        <v>A022</v>
      </c>
      <c r="D271" s="1" t="str">
        <f>'Raw Tickets'!$D$271</f>
        <v>Call</v>
      </c>
      <c r="E271" s="1" t="str">
        <f>'Raw Tickets'!$E$271</f>
        <v>Payment Failure</v>
      </c>
      <c r="F271" s="1" t="str">
        <f>'Raw Tickets'!$F$271</f>
        <v>High</v>
      </c>
      <c r="G271" s="1">
        <f>'Raw Tickets'!$G$271</f>
        <v>11.3</v>
      </c>
      <c r="H271" s="1">
        <f>'Raw Tickets'!$H$271</f>
        <v>61</v>
      </c>
      <c r="I271" s="1">
        <f>'Raw Tickets'!$I$271</f>
        <v>3</v>
      </c>
      <c r="J271" s="6">
        <f>'Raw Tickets'!$J$271</f>
        <v>80.7</v>
      </c>
      <c r="K271" s="1" t="str">
        <f>'Raw Tickets'!$K$271</f>
        <v>Closed</v>
      </c>
      <c r="L271" s="1" t="str">
        <f>'Raw Tickets'!$L$271</f>
        <v>No</v>
      </c>
      <c r="M271" s="1" t="str">
        <f>'Raw Tickets'!$M$271</f>
        <v>Yes</v>
      </c>
      <c r="N271" s="1" t="str">
        <f>IFERROR(VLOOKUP(C271,Agents!$A$2:$E$26,2,FALSE),"")</f>
        <v>Varun Sharma</v>
      </c>
      <c r="O271" s="1" t="str">
        <f>IFERROR(INDEX(Agents!$D$2:$D$26,MATCH(C271,Agents!$A$2:$A$26,0)),"")</f>
        <v>Seller Support</v>
      </c>
      <c r="P271" s="1" t="str">
        <f>IFERROR(VLOOKUP(C271,Agents!$A$2:$E$26,3,FALSE),"")</f>
        <v>Vivek Jain</v>
      </c>
      <c r="Q271" s="1" t="str">
        <f>IFERROR(VLOOKUP(C271,Agents!$A$2:$E$26,5,FALSE),"")</f>
        <v>Noida</v>
      </c>
      <c r="R271" s="1">
        <f>IFERROR(VLOOKUP(F271,#REF!,2,FALSE),0)</f>
        <v>0</v>
      </c>
      <c r="S271" s="1" t="str">
        <f t="shared" si="24"/>
        <v>Breached</v>
      </c>
      <c r="T271" s="1" t="str">
        <f t="shared" si="25"/>
        <v>Late</v>
      </c>
      <c r="U271" s="1" t="str">
        <f t="shared" si="26"/>
        <v>2025-11</v>
      </c>
      <c r="V271" s="1" t="str">
        <f t="shared" si="27"/>
        <v>Average</v>
      </c>
      <c r="W271" s="1" t="str">
        <f t="shared" si="28"/>
        <v>Needs Coaching</v>
      </c>
      <c r="X271" s="1" t="str">
        <f t="shared" si="29"/>
        <v>Unique</v>
      </c>
    </row>
    <row r="272" spans="1:24" ht="15" customHeight="1">
      <c r="A272" s="1" t="str">
        <f>'Raw Tickets'!$A$272</f>
        <v>T00271</v>
      </c>
      <c r="B272" s="4">
        <f>'Raw Tickets'!$B$272</f>
        <v>45886</v>
      </c>
      <c r="C272" s="1" t="str">
        <f>'Raw Tickets'!$C$272</f>
        <v>A007</v>
      </c>
      <c r="D272" s="1" t="str">
        <f>'Raw Tickets'!$D$272</f>
        <v>Email</v>
      </c>
      <c r="E272" s="1" t="str">
        <f>'Raw Tickets'!$E$272</f>
        <v>Order Cancellation</v>
      </c>
      <c r="F272" s="1" t="str">
        <f>'Raw Tickets'!$F$272</f>
        <v>Medium</v>
      </c>
      <c r="G272" s="1">
        <f>'Raw Tickets'!$G$272</f>
        <v>24.3</v>
      </c>
      <c r="H272" s="1">
        <f>'Raw Tickets'!$H$272</f>
        <v>60</v>
      </c>
      <c r="I272" s="1">
        <f>'Raw Tickets'!$I$272</f>
        <v>5</v>
      </c>
      <c r="J272" s="6">
        <f>'Raw Tickets'!$J$272</f>
        <v>86.5</v>
      </c>
      <c r="K272" s="1" t="str">
        <f>'Raw Tickets'!$K$272</f>
        <v>Closed</v>
      </c>
      <c r="L272" s="1" t="str">
        <f>'Raw Tickets'!$L$272</f>
        <v>No</v>
      </c>
      <c r="M272" s="1" t="str">
        <f>'Raw Tickets'!$M$272</f>
        <v>No</v>
      </c>
      <c r="N272" s="1" t="str">
        <f>IFERROR(VLOOKUP(C272,Agents!$A$2:$E$26,2,FALSE),"")</f>
        <v>Kavya Patel</v>
      </c>
      <c r="O272" s="1" t="str">
        <f>IFERROR(INDEX(Agents!$D$2:$D$26,MATCH(C272,Agents!$A$2:$A$26,0)),"")</f>
        <v>Voice Support</v>
      </c>
      <c r="P272" s="1" t="str">
        <f>IFERROR(VLOOKUP(C272,Agents!$A$2:$E$26,3,FALSE),"")</f>
        <v>Kritika Shah</v>
      </c>
      <c r="Q272" s="1" t="str">
        <f>IFERROR(VLOOKUP(C272,Agents!$A$2:$E$26,5,FALSE),"")</f>
        <v>Noida</v>
      </c>
      <c r="R272" s="1">
        <f>IFERROR(VLOOKUP(F272,#REF!,2,FALSE),0)</f>
        <v>0</v>
      </c>
      <c r="S272" s="1" t="str">
        <f t="shared" si="24"/>
        <v>Breached</v>
      </c>
      <c r="T272" s="1" t="str">
        <f t="shared" si="25"/>
        <v>Late</v>
      </c>
      <c r="U272" s="1" t="str">
        <f t="shared" si="26"/>
        <v>2025-08</v>
      </c>
      <c r="V272" s="1" t="str">
        <f t="shared" si="27"/>
        <v>Good</v>
      </c>
      <c r="W272" s="1" t="str">
        <f t="shared" si="28"/>
        <v>Pass</v>
      </c>
      <c r="X272" s="1" t="str">
        <f t="shared" si="29"/>
        <v>Unique</v>
      </c>
    </row>
    <row r="273" spans="1:24" ht="15" customHeight="1">
      <c r="A273" s="1" t="str">
        <f>'Raw Tickets'!$A$273</f>
        <v>T00272</v>
      </c>
      <c r="B273" s="4">
        <f>'Raw Tickets'!$B$273</f>
        <v>45911</v>
      </c>
      <c r="C273" s="1" t="str">
        <f>'Raw Tickets'!$C$273</f>
        <v>A016</v>
      </c>
      <c r="D273" s="1" t="str">
        <f>'Raw Tickets'!$D$273</f>
        <v>Chat</v>
      </c>
      <c r="E273" s="1" t="str">
        <f>'Raw Tickets'!$E$273</f>
        <v>Order Cancellation</v>
      </c>
      <c r="F273" s="1" t="str">
        <f>'Raw Tickets'!$F$273</f>
        <v>Medium</v>
      </c>
      <c r="G273" s="1">
        <f>'Raw Tickets'!$G$273</f>
        <v>18.899999999999999</v>
      </c>
      <c r="H273" s="1">
        <f>'Raw Tickets'!$H$273</f>
        <v>43</v>
      </c>
      <c r="I273" s="1">
        <f>'Raw Tickets'!$I$273</f>
        <v>4</v>
      </c>
      <c r="J273" s="6">
        <f>'Raw Tickets'!$J$273</f>
        <v>85.1</v>
      </c>
      <c r="K273" s="1" t="str">
        <f>'Raw Tickets'!$K$273</f>
        <v>Closed</v>
      </c>
      <c r="L273" s="1" t="str">
        <f>'Raw Tickets'!$L$273</f>
        <v>No</v>
      </c>
      <c r="M273" s="1" t="str">
        <f>'Raw Tickets'!$M$273</f>
        <v>No</v>
      </c>
      <c r="N273" s="1" t="str">
        <f>IFERROR(VLOOKUP(C273,Agents!$A$2:$E$26,2,FALSE),"")</f>
        <v>Pooja Bansal</v>
      </c>
      <c r="O273" s="1" t="str">
        <f>IFERROR(INDEX(Agents!$D$2:$D$26,MATCH(C273,Agents!$A$2:$A$26,0)),"")</f>
        <v>Escalations</v>
      </c>
      <c r="P273" s="1" t="str">
        <f>IFERROR(VLOOKUP(C273,Agents!$A$2:$E$26,3,FALSE),"")</f>
        <v>Pallavi Rao</v>
      </c>
      <c r="Q273" s="1" t="str">
        <f>IFERROR(VLOOKUP(C273,Agents!$A$2:$E$26,5,FALSE),"")</f>
        <v>Hyderabad</v>
      </c>
      <c r="R273" s="1">
        <f>IFERROR(VLOOKUP(F273,#REF!,2,FALSE),0)</f>
        <v>0</v>
      </c>
      <c r="S273" s="1" t="str">
        <f t="shared" si="24"/>
        <v>Breached</v>
      </c>
      <c r="T273" s="1" t="str">
        <f t="shared" si="25"/>
        <v>Late</v>
      </c>
      <c r="U273" s="1" t="str">
        <f t="shared" si="26"/>
        <v>2025-09</v>
      </c>
      <c r="V273" s="1" t="str">
        <f t="shared" si="27"/>
        <v>Good</v>
      </c>
      <c r="W273" s="1" t="str">
        <f t="shared" si="28"/>
        <v>Pass</v>
      </c>
      <c r="X273" s="1" t="str">
        <f t="shared" si="29"/>
        <v>Unique</v>
      </c>
    </row>
    <row r="274" spans="1:24" ht="15" customHeight="1">
      <c r="A274" s="1" t="str">
        <f>'Raw Tickets'!$A$274</f>
        <v>T00273</v>
      </c>
      <c r="B274" s="4">
        <f>'Raw Tickets'!$B$274</f>
        <v>45864</v>
      </c>
      <c r="C274" s="1" t="str">
        <f>'Raw Tickets'!$C$274</f>
        <v>A004</v>
      </c>
      <c r="D274" s="1" t="str">
        <f>'Raw Tickets'!$D$274</f>
        <v>Call</v>
      </c>
      <c r="E274" s="1" t="str">
        <f>'Raw Tickets'!$E$274</f>
        <v>Account Issue</v>
      </c>
      <c r="F274" s="1" t="str">
        <f>'Raw Tickets'!$F$274</f>
        <v>Medium</v>
      </c>
      <c r="G274" s="1">
        <f>'Raw Tickets'!$G$274</f>
        <v>20</v>
      </c>
      <c r="H274" s="1">
        <f>'Raw Tickets'!$H$274</f>
        <v>35</v>
      </c>
      <c r="I274" s="1">
        <f>'Raw Tickets'!$I$274</f>
        <v>5</v>
      </c>
      <c r="J274" s="6">
        <f>'Raw Tickets'!$J$274</f>
        <v>84.5</v>
      </c>
      <c r="K274" s="1" t="str">
        <f>'Raw Tickets'!$K$274</f>
        <v>Closed</v>
      </c>
      <c r="L274" s="1" t="str">
        <f>'Raw Tickets'!$L$274</f>
        <v>No</v>
      </c>
      <c r="M274" s="1" t="str">
        <f>'Raw Tickets'!$M$274</f>
        <v>No</v>
      </c>
      <c r="N274" s="1" t="str">
        <f>IFERROR(VLOOKUP(C274,Agents!$A$2:$E$26,2,FALSE),"")</f>
        <v>Arjun Agarwal</v>
      </c>
      <c r="O274" s="1" t="str">
        <f>IFERROR(INDEX(Agents!$D$2:$D$26,MATCH(C274,Agents!$A$2:$A$26,0)),"")</f>
        <v>Email Support</v>
      </c>
      <c r="P274" s="1" t="str">
        <f>IFERROR(VLOOKUP(C274,Agents!$A$2:$E$26,3,FALSE),"")</f>
        <v>Aman Verma</v>
      </c>
      <c r="Q274" s="1" t="str">
        <f>IFERROR(VLOOKUP(C274,Agents!$A$2:$E$26,5,FALSE),"")</f>
        <v>Bengaluru</v>
      </c>
      <c r="R274" s="1">
        <f>IFERROR(VLOOKUP(F274,#REF!,2,FALSE),0)</f>
        <v>0</v>
      </c>
      <c r="S274" s="1" t="str">
        <f t="shared" si="24"/>
        <v>Breached</v>
      </c>
      <c r="T274" s="1" t="str">
        <f t="shared" si="25"/>
        <v>Late</v>
      </c>
      <c r="U274" s="1" t="str">
        <f t="shared" si="26"/>
        <v>2025-07</v>
      </c>
      <c r="V274" s="1" t="str">
        <f t="shared" si="27"/>
        <v>Good</v>
      </c>
      <c r="W274" s="1" t="str">
        <f t="shared" si="28"/>
        <v>Needs Coaching</v>
      </c>
      <c r="X274" s="1" t="str">
        <f t="shared" si="29"/>
        <v>Unique</v>
      </c>
    </row>
    <row r="275" spans="1:24" ht="15" customHeight="1">
      <c r="A275" s="1" t="str">
        <f>'Raw Tickets'!$A$275</f>
        <v>T00274</v>
      </c>
      <c r="B275" s="4">
        <f>'Raw Tickets'!$B$275</f>
        <v>45718</v>
      </c>
      <c r="C275" s="1" t="str">
        <f>'Raw Tickets'!$C$275</f>
        <v>A011</v>
      </c>
      <c r="D275" s="1" t="str">
        <f>'Raw Tickets'!$D$275</f>
        <v>Email</v>
      </c>
      <c r="E275" s="1" t="str">
        <f>'Raw Tickets'!$E$275</f>
        <v>Payment Failure</v>
      </c>
      <c r="F275" s="1" t="str">
        <f>'Raw Tickets'!$F$275</f>
        <v>Medium</v>
      </c>
      <c r="G275" s="1">
        <f>'Raw Tickets'!$G$275</f>
        <v>8.4</v>
      </c>
      <c r="H275" s="1">
        <f>'Raw Tickets'!$H$275</f>
        <v>22</v>
      </c>
      <c r="I275" s="1">
        <f>'Raw Tickets'!$I$275</f>
        <v>5</v>
      </c>
      <c r="J275" s="6">
        <f>'Raw Tickets'!$J$275</f>
        <v>85.7</v>
      </c>
      <c r="K275" s="1" t="str">
        <f>'Raw Tickets'!$K$275</f>
        <v>Closed</v>
      </c>
      <c r="L275" s="1" t="str">
        <f>'Raw Tickets'!$L$275</f>
        <v>Yes</v>
      </c>
      <c r="M275" s="1" t="str">
        <f>'Raw Tickets'!$M$275</f>
        <v>No</v>
      </c>
      <c r="N275" s="1" t="str">
        <f>IFERROR(VLOOKUP(C275,Agents!$A$2:$E$26,2,FALSE),"")</f>
        <v>Shreya Singh</v>
      </c>
      <c r="O275" s="1" t="str">
        <f>IFERROR(INDEX(Agents!$D$2:$D$26,MATCH(C275,Agents!$A$2:$A$26,0)),"")</f>
        <v>Chat Support</v>
      </c>
      <c r="P275" s="1" t="str">
        <f>IFERROR(VLOOKUP(C275,Agents!$A$2:$E$26,3,FALSE),"")</f>
        <v>Nitin Gupta</v>
      </c>
      <c r="Q275" s="1" t="str">
        <f>IFERROR(VLOOKUP(C275,Agents!$A$2:$E$26,5,FALSE),"")</f>
        <v>Noida</v>
      </c>
      <c r="R275" s="1">
        <f>IFERROR(VLOOKUP(F275,#REF!,2,FALSE),0)</f>
        <v>0</v>
      </c>
      <c r="S275" s="1" t="str">
        <f t="shared" si="24"/>
        <v>Breached</v>
      </c>
      <c r="T275" s="1" t="str">
        <f t="shared" si="25"/>
        <v>Within Target</v>
      </c>
      <c r="U275" s="1" t="str">
        <f t="shared" si="26"/>
        <v>2025-03</v>
      </c>
      <c r="V275" s="1" t="str">
        <f t="shared" si="27"/>
        <v>Good</v>
      </c>
      <c r="W275" s="1" t="str">
        <f t="shared" si="28"/>
        <v>Pass</v>
      </c>
      <c r="X275" s="1" t="str">
        <f t="shared" si="29"/>
        <v>Unique</v>
      </c>
    </row>
    <row r="276" spans="1:24" ht="15" customHeight="1">
      <c r="A276" s="1" t="str">
        <f>'Raw Tickets'!$A$276</f>
        <v>T00275</v>
      </c>
      <c r="B276" s="4">
        <f>'Raw Tickets'!$B$276</f>
        <v>45681</v>
      </c>
      <c r="C276" s="1" t="str">
        <f>'Raw Tickets'!$C$276</f>
        <v>A013</v>
      </c>
      <c r="D276" s="1" t="str">
        <f>'Raw Tickets'!$D$276</f>
        <v>Email</v>
      </c>
      <c r="E276" s="1" t="str">
        <f>'Raw Tickets'!$E$276</f>
        <v>Product Quality</v>
      </c>
      <c r="F276" s="1" t="str">
        <f>'Raw Tickets'!$F$276</f>
        <v>Medium</v>
      </c>
      <c r="G276" s="1">
        <f>'Raw Tickets'!$G$276</f>
        <v>24.5</v>
      </c>
      <c r="H276" s="1">
        <f>'Raw Tickets'!$H$276</f>
        <v>62</v>
      </c>
      <c r="I276" s="1">
        <f>'Raw Tickets'!$I$276</f>
        <v>3</v>
      </c>
      <c r="J276" s="6">
        <f>'Raw Tickets'!$J$276</f>
        <v>86.7</v>
      </c>
      <c r="K276" s="1" t="str">
        <f>'Raw Tickets'!$K$276</f>
        <v>Closed</v>
      </c>
      <c r="L276" s="1" t="str">
        <f>'Raw Tickets'!$L$276</f>
        <v>No</v>
      </c>
      <c r="M276" s="1" t="str">
        <f>'Raw Tickets'!$M$276</f>
        <v>No</v>
      </c>
      <c r="N276" s="1" t="str">
        <f>IFERROR(VLOOKUP(C276,Agents!$A$2:$E$26,2,FALSE),"")</f>
        <v>Ananya Jain</v>
      </c>
      <c r="O276" s="1" t="str">
        <f>IFERROR(INDEX(Agents!$D$2:$D$26,MATCH(C276,Agents!$A$2:$A$26,0)),"")</f>
        <v>Chat Support</v>
      </c>
      <c r="P276" s="1" t="str">
        <f>IFERROR(VLOOKUP(C276,Agents!$A$2:$E$26,3,FALSE),"")</f>
        <v>Nitin Gupta</v>
      </c>
      <c r="Q276" s="1" t="str">
        <f>IFERROR(VLOOKUP(C276,Agents!$A$2:$E$26,5,FALSE),"")</f>
        <v>Hyderabad</v>
      </c>
      <c r="R276" s="1">
        <f>IFERROR(VLOOKUP(F276,#REF!,2,FALSE),0)</f>
        <v>0</v>
      </c>
      <c r="S276" s="1" t="str">
        <f t="shared" si="24"/>
        <v>Breached</v>
      </c>
      <c r="T276" s="1" t="str">
        <f t="shared" si="25"/>
        <v>Late</v>
      </c>
      <c r="U276" s="1" t="str">
        <f t="shared" si="26"/>
        <v>2025-01</v>
      </c>
      <c r="V276" s="1" t="str">
        <f t="shared" si="27"/>
        <v>Average</v>
      </c>
      <c r="W276" s="1" t="str">
        <f t="shared" si="28"/>
        <v>Pass</v>
      </c>
      <c r="X276" s="1" t="str">
        <f t="shared" si="29"/>
        <v>Unique</v>
      </c>
    </row>
    <row r="277" spans="1:24" ht="15" customHeight="1">
      <c r="A277" s="1" t="str">
        <f>'Raw Tickets'!$A$277</f>
        <v>T00276</v>
      </c>
      <c r="B277" s="4">
        <f>'Raw Tickets'!$B$277</f>
        <v>45781</v>
      </c>
      <c r="C277" s="1" t="str">
        <f>'Raw Tickets'!$C$277</f>
        <v>A019</v>
      </c>
      <c r="D277" s="1" t="str">
        <f>'Raw Tickets'!$D$277</f>
        <v>Call</v>
      </c>
      <c r="E277" s="1" t="str">
        <f>'Raw Tickets'!$E$277</f>
        <v>Product Quality</v>
      </c>
      <c r="F277" s="1" t="str">
        <f>'Raw Tickets'!$F$277</f>
        <v>Medium</v>
      </c>
      <c r="G277" s="1">
        <f>'Raw Tickets'!$G$277</f>
        <v>19</v>
      </c>
      <c r="H277" s="1">
        <f>'Raw Tickets'!$H$277</f>
        <v>19</v>
      </c>
      <c r="I277" s="1">
        <f>'Raw Tickets'!$I$277</f>
        <v>4</v>
      </c>
      <c r="J277" s="6">
        <f>'Raw Tickets'!$J$277</f>
        <v>90.9</v>
      </c>
      <c r="K277" s="1" t="str">
        <f>'Raw Tickets'!$K$277</f>
        <v>Closed</v>
      </c>
      <c r="L277" s="1" t="str">
        <f>'Raw Tickets'!$L$277</f>
        <v>Yes</v>
      </c>
      <c r="M277" s="1" t="str">
        <f>'Raw Tickets'!$M$277</f>
        <v>No</v>
      </c>
      <c r="N277" s="1" t="str">
        <f>IFERROR(VLOOKUP(C277,Agents!$A$2:$E$26,2,FALSE),"")</f>
        <v>Sneha Joshi</v>
      </c>
      <c r="O277" s="1" t="str">
        <f>IFERROR(INDEX(Agents!$D$2:$D$26,MATCH(C277,Agents!$A$2:$A$26,0)),"")</f>
        <v>Escalations</v>
      </c>
      <c r="P277" s="1" t="str">
        <f>IFERROR(VLOOKUP(C277,Agents!$A$2:$E$26,3,FALSE),"")</f>
        <v>Pallavi Rao</v>
      </c>
      <c r="Q277" s="1" t="str">
        <f>IFERROR(VLOOKUP(C277,Agents!$A$2:$E$26,5,FALSE),"")</f>
        <v>Hyderabad</v>
      </c>
      <c r="R277" s="1">
        <f>IFERROR(VLOOKUP(F277,#REF!,2,FALSE),0)</f>
        <v>0</v>
      </c>
      <c r="S277" s="1" t="str">
        <f t="shared" si="24"/>
        <v>Breached</v>
      </c>
      <c r="T277" s="1" t="str">
        <f t="shared" si="25"/>
        <v>Within Target</v>
      </c>
      <c r="U277" s="1" t="str">
        <f t="shared" si="26"/>
        <v>2025-05</v>
      </c>
      <c r="V277" s="1" t="str">
        <f t="shared" si="27"/>
        <v>Good</v>
      </c>
      <c r="W277" s="1" t="str">
        <f t="shared" si="28"/>
        <v>Pass</v>
      </c>
      <c r="X277" s="1" t="str">
        <f t="shared" si="29"/>
        <v>Unique</v>
      </c>
    </row>
    <row r="278" spans="1:24" ht="15" customHeight="1">
      <c r="A278" s="1" t="str">
        <f>'Raw Tickets'!$A$278</f>
        <v>T00277</v>
      </c>
      <c r="B278" s="4">
        <f>'Raw Tickets'!$B$278</f>
        <v>45838</v>
      </c>
      <c r="C278" s="1" t="str">
        <f>'Raw Tickets'!$C$278</f>
        <v>A005</v>
      </c>
      <c r="D278" s="1" t="str">
        <f>'Raw Tickets'!$D$278</f>
        <v>Call</v>
      </c>
      <c r="E278" s="1" t="str">
        <f>'Raw Tickets'!$E$278</f>
        <v>Product Quality</v>
      </c>
      <c r="F278" s="1" t="str">
        <f>'Raw Tickets'!$F$278</f>
        <v>High</v>
      </c>
      <c r="G278" s="1">
        <f>'Raw Tickets'!$G$278</f>
        <v>10.199999999999999</v>
      </c>
      <c r="H278" s="1">
        <f>'Raw Tickets'!$H$278</f>
        <v>11</v>
      </c>
      <c r="I278" s="1">
        <f>'Raw Tickets'!$I$278</f>
        <v>5</v>
      </c>
      <c r="J278" s="6">
        <f>'Raw Tickets'!$J$278</f>
        <v>82</v>
      </c>
      <c r="K278" s="1" t="str">
        <f>'Raw Tickets'!$K$278</f>
        <v>Closed</v>
      </c>
      <c r="L278" s="1" t="str">
        <f>'Raw Tickets'!$L$278</f>
        <v>No</v>
      </c>
      <c r="M278" s="1" t="str">
        <f>'Raw Tickets'!$M$278</f>
        <v>Yes</v>
      </c>
      <c r="N278" s="1" t="str">
        <f>IFERROR(VLOOKUP(C278,Agents!$A$2:$E$26,2,FALSE),"")</f>
        <v>Aditi Verma</v>
      </c>
      <c r="O278" s="1" t="str">
        <f>IFERROR(INDEX(Agents!$D$2:$D$26,MATCH(C278,Agents!$A$2:$A$26,0)),"")</f>
        <v>Email Support</v>
      </c>
      <c r="P278" s="1" t="str">
        <f>IFERROR(VLOOKUP(C278,Agents!$A$2:$E$26,3,FALSE),"")</f>
        <v>Aman Verma</v>
      </c>
      <c r="Q278" s="1" t="str">
        <f>IFERROR(VLOOKUP(C278,Agents!$A$2:$E$26,5,FALSE),"")</f>
        <v>Gurugram</v>
      </c>
      <c r="R278" s="1">
        <f>IFERROR(VLOOKUP(F278,#REF!,2,FALSE),0)</f>
        <v>0</v>
      </c>
      <c r="S278" s="1" t="str">
        <f t="shared" si="24"/>
        <v>Breached</v>
      </c>
      <c r="T278" s="1" t="str">
        <f t="shared" si="25"/>
        <v>Within Target</v>
      </c>
      <c r="U278" s="1" t="str">
        <f t="shared" si="26"/>
        <v>2025-06</v>
      </c>
      <c r="V278" s="1" t="str">
        <f t="shared" si="27"/>
        <v>Good</v>
      </c>
      <c r="W278" s="1" t="str">
        <f t="shared" si="28"/>
        <v>Needs Coaching</v>
      </c>
      <c r="X278" s="1" t="str">
        <f t="shared" si="29"/>
        <v>Unique</v>
      </c>
    </row>
    <row r="279" spans="1:24" ht="15" customHeight="1">
      <c r="A279" s="1" t="str">
        <f>'Raw Tickets'!$A$279</f>
        <v>T00278</v>
      </c>
      <c r="B279" s="4">
        <f>'Raw Tickets'!$B$279</f>
        <v>45813</v>
      </c>
      <c r="C279" s="1" t="str">
        <f>'Raw Tickets'!$C$279</f>
        <v>A016</v>
      </c>
      <c r="D279" s="1" t="str">
        <f>'Raw Tickets'!$D$279</f>
        <v>Call</v>
      </c>
      <c r="E279" s="1" t="str">
        <f>'Raw Tickets'!$E$279</f>
        <v>Refund</v>
      </c>
      <c r="F279" s="1" t="str">
        <f>'Raw Tickets'!$F$279</f>
        <v>High</v>
      </c>
      <c r="G279" s="1">
        <f>'Raw Tickets'!$G$279</f>
        <v>9.1999999999999993</v>
      </c>
      <c r="H279" s="1">
        <f>'Raw Tickets'!$H$279</f>
        <v>11</v>
      </c>
      <c r="I279" s="1">
        <f>'Raw Tickets'!$I$279</f>
        <v>5</v>
      </c>
      <c r="J279" s="6">
        <f>'Raw Tickets'!$J$279</f>
        <v>85.6</v>
      </c>
      <c r="K279" s="1" t="str">
        <f>'Raw Tickets'!$K$279</f>
        <v>Closed</v>
      </c>
      <c r="L279" s="1" t="str">
        <f>'Raw Tickets'!$L$279</f>
        <v>No</v>
      </c>
      <c r="M279" s="1" t="str">
        <f>'Raw Tickets'!$M$279</f>
        <v>No</v>
      </c>
      <c r="N279" s="1" t="str">
        <f>IFERROR(VLOOKUP(C279,Agents!$A$2:$E$26,2,FALSE),"")</f>
        <v>Pooja Bansal</v>
      </c>
      <c r="O279" s="1" t="str">
        <f>IFERROR(INDEX(Agents!$D$2:$D$26,MATCH(C279,Agents!$A$2:$A$26,0)),"")</f>
        <v>Escalations</v>
      </c>
      <c r="P279" s="1" t="str">
        <f>IFERROR(VLOOKUP(C279,Agents!$A$2:$E$26,3,FALSE),"")</f>
        <v>Pallavi Rao</v>
      </c>
      <c r="Q279" s="1" t="str">
        <f>IFERROR(VLOOKUP(C279,Agents!$A$2:$E$26,5,FALSE),"")</f>
        <v>Hyderabad</v>
      </c>
      <c r="R279" s="1">
        <f>IFERROR(VLOOKUP(F279,#REF!,2,FALSE),0)</f>
        <v>0</v>
      </c>
      <c r="S279" s="1" t="str">
        <f t="shared" si="24"/>
        <v>Breached</v>
      </c>
      <c r="T279" s="1" t="str">
        <f t="shared" si="25"/>
        <v>Within Target</v>
      </c>
      <c r="U279" s="1" t="str">
        <f t="shared" si="26"/>
        <v>2025-06</v>
      </c>
      <c r="V279" s="1" t="str">
        <f t="shared" si="27"/>
        <v>Good</v>
      </c>
      <c r="W279" s="1" t="str">
        <f t="shared" si="28"/>
        <v>Pass</v>
      </c>
      <c r="X279" s="1" t="str">
        <f t="shared" si="29"/>
        <v>Unique</v>
      </c>
    </row>
    <row r="280" spans="1:24" ht="15" customHeight="1">
      <c r="A280" s="1" t="str">
        <f>'Raw Tickets'!$A$280</f>
        <v>T00279</v>
      </c>
      <c r="B280" s="4">
        <f>'Raw Tickets'!$B$280</f>
        <v>45741</v>
      </c>
      <c r="C280" s="1" t="str">
        <f>'Raw Tickets'!$C$280</f>
        <v>A007</v>
      </c>
      <c r="D280" s="1" t="str">
        <f>'Raw Tickets'!$D$280</f>
        <v>Email</v>
      </c>
      <c r="E280" s="1" t="str">
        <f>'Raw Tickets'!$E$280</f>
        <v>Refund</v>
      </c>
      <c r="F280" s="1" t="str">
        <f>'Raw Tickets'!$F$280</f>
        <v>Low</v>
      </c>
      <c r="G280" s="1">
        <f>'Raw Tickets'!$G$280</f>
        <v>64.099999999999994</v>
      </c>
      <c r="H280" s="1">
        <f>'Raw Tickets'!$H$280</f>
        <v>52</v>
      </c>
      <c r="I280" s="1">
        <f>'Raw Tickets'!$I$280</f>
        <v>5</v>
      </c>
      <c r="J280" s="6">
        <f>'Raw Tickets'!$J$280</f>
        <v>99.7</v>
      </c>
      <c r="K280" s="1" t="str">
        <f>'Raw Tickets'!$K$280</f>
        <v>Closed</v>
      </c>
      <c r="L280" s="1" t="str">
        <f>'Raw Tickets'!$L$280</f>
        <v>No</v>
      </c>
      <c r="M280" s="1" t="str">
        <f>'Raw Tickets'!$M$280</f>
        <v>No</v>
      </c>
      <c r="N280" s="1" t="str">
        <f>IFERROR(VLOOKUP(C280,Agents!$A$2:$E$26,2,FALSE),"")</f>
        <v>Kavya Patel</v>
      </c>
      <c r="O280" s="1" t="str">
        <f>IFERROR(INDEX(Agents!$D$2:$D$26,MATCH(C280,Agents!$A$2:$A$26,0)),"")</f>
        <v>Voice Support</v>
      </c>
      <c r="P280" s="1" t="str">
        <f>IFERROR(VLOOKUP(C280,Agents!$A$2:$E$26,3,FALSE),"")</f>
        <v>Kritika Shah</v>
      </c>
      <c r="Q280" s="1" t="str">
        <f>IFERROR(VLOOKUP(C280,Agents!$A$2:$E$26,5,FALSE),"")</f>
        <v>Noida</v>
      </c>
      <c r="R280" s="1">
        <f>IFERROR(VLOOKUP(F280,#REF!,2,FALSE),0)</f>
        <v>0</v>
      </c>
      <c r="S280" s="1" t="str">
        <f t="shared" si="24"/>
        <v>Breached</v>
      </c>
      <c r="T280" s="1" t="str">
        <f t="shared" si="25"/>
        <v>Late</v>
      </c>
      <c r="U280" s="1" t="str">
        <f t="shared" si="26"/>
        <v>2025-03</v>
      </c>
      <c r="V280" s="1" t="str">
        <f t="shared" si="27"/>
        <v>Good</v>
      </c>
      <c r="W280" s="1" t="str">
        <f t="shared" si="28"/>
        <v>Pass</v>
      </c>
      <c r="X280" s="1" t="str">
        <f t="shared" si="29"/>
        <v>Unique</v>
      </c>
    </row>
    <row r="281" spans="1:24" ht="15" customHeight="1">
      <c r="A281" s="1" t="str">
        <f>'Raw Tickets'!$A$281</f>
        <v>T00280</v>
      </c>
      <c r="B281" s="4">
        <f>'Raw Tickets'!$B$281</f>
        <v>45822</v>
      </c>
      <c r="C281" s="1" t="str">
        <f>'Raw Tickets'!$C$281</f>
        <v>A018</v>
      </c>
      <c r="D281" s="1" t="str">
        <f>'Raw Tickets'!$D$281</f>
        <v>Email</v>
      </c>
      <c r="E281" s="1" t="str">
        <f>'Raw Tickets'!$E$281</f>
        <v>Payment Failure</v>
      </c>
      <c r="F281" s="1" t="str">
        <f>'Raw Tickets'!$F$281</f>
        <v>High</v>
      </c>
      <c r="G281" s="1">
        <f>'Raw Tickets'!$G$281</f>
        <v>0.5</v>
      </c>
      <c r="H281" s="1">
        <f>'Raw Tickets'!$H$281</f>
        <v>23</v>
      </c>
      <c r="I281" s="1">
        <f>'Raw Tickets'!$I$281</f>
        <v>3</v>
      </c>
      <c r="J281" s="6">
        <f>'Raw Tickets'!$J$281</f>
        <v>92.2</v>
      </c>
      <c r="K281" s="1" t="str">
        <f>'Raw Tickets'!$K$281</f>
        <v>Closed</v>
      </c>
      <c r="L281" s="1" t="str">
        <f>'Raw Tickets'!$L$281</f>
        <v>No</v>
      </c>
      <c r="M281" s="1" t="str">
        <f>'Raw Tickets'!$M$281</f>
        <v>No</v>
      </c>
      <c r="N281" s="1" t="str">
        <f>IFERROR(VLOOKUP(C281,Agents!$A$2:$E$26,2,FALSE),"")</f>
        <v>Rahul Verma</v>
      </c>
      <c r="O281" s="1" t="str">
        <f>IFERROR(INDEX(Agents!$D$2:$D$26,MATCH(C281,Agents!$A$2:$A$26,0)),"")</f>
        <v>Escalations</v>
      </c>
      <c r="P281" s="1" t="str">
        <f>IFERROR(VLOOKUP(C281,Agents!$A$2:$E$26,3,FALSE),"")</f>
        <v>Pallavi Rao</v>
      </c>
      <c r="Q281" s="1" t="str">
        <f>IFERROR(VLOOKUP(C281,Agents!$A$2:$E$26,5,FALSE),"")</f>
        <v>Hyderabad</v>
      </c>
      <c r="R281" s="1">
        <f>IFERROR(VLOOKUP(F281,#REF!,2,FALSE),0)</f>
        <v>0</v>
      </c>
      <c r="S281" s="1" t="str">
        <f t="shared" si="24"/>
        <v>Breached</v>
      </c>
      <c r="T281" s="1" t="str">
        <f t="shared" si="25"/>
        <v>Within Target</v>
      </c>
      <c r="U281" s="1" t="str">
        <f t="shared" si="26"/>
        <v>2025-06</v>
      </c>
      <c r="V281" s="1" t="str">
        <f t="shared" si="27"/>
        <v>Average</v>
      </c>
      <c r="W281" s="1" t="str">
        <f t="shared" si="28"/>
        <v>Pass</v>
      </c>
      <c r="X281" s="1" t="str">
        <f t="shared" si="29"/>
        <v>Unique</v>
      </c>
    </row>
    <row r="282" spans="1:24" ht="15" customHeight="1">
      <c r="A282" s="1" t="str">
        <f>'Raw Tickets'!$A$282</f>
        <v>T00281</v>
      </c>
      <c r="B282" s="4">
        <f>'Raw Tickets'!$B$282</f>
        <v>45713</v>
      </c>
      <c r="C282" s="1" t="str">
        <f>'Raw Tickets'!$C$282</f>
        <v>A017</v>
      </c>
      <c r="D282" s="1" t="str">
        <f>'Raw Tickets'!$D$282</f>
        <v>Call</v>
      </c>
      <c r="E282" s="1" t="str">
        <f>'Raw Tickets'!$E$282</f>
        <v>Payment Failure</v>
      </c>
      <c r="F282" s="1" t="str">
        <f>'Raw Tickets'!$F$282</f>
        <v>Low</v>
      </c>
      <c r="G282" s="1">
        <f>'Raw Tickets'!$G$282</f>
        <v>45.6</v>
      </c>
      <c r="H282" s="1">
        <f>'Raw Tickets'!$H$282</f>
        <v>41</v>
      </c>
      <c r="I282" s="1">
        <f>'Raw Tickets'!$I$282</f>
        <v>5</v>
      </c>
      <c r="J282" s="6">
        <f>'Raw Tickets'!$J$282</f>
        <v>88.9</v>
      </c>
      <c r="K282" s="1" t="str">
        <f>'Raw Tickets'!$K$282</f>
        <v>Closed</v>
      </c>
      <c r="L282" s="1" t="str">
        <f>'Raw Tickets'!$L$282</f>
        <v>No</v>
      </c>
      <c r="M282" s="1" t="str">
        <f>'Raw Tickets'!$M$282</f>
        <v>No</v>
      </c>
      <c r="N282" s="1" t="str">
        <f>IFERROR(VLOOKUP(C282,Agents!$A$2:$E$26,2,FALSE),"")</f>
        <v>Varun Mehta</v>
      </c>
      <c r="O282" s="1" t="str">
        <f>IFERROR(INDEX(Agents!$D$2:$D$26,MATCH(C282,Agents!$A$2:$A$26,0)),"")</f>
        <v>Escalations</v>
      </c>
      <c r="P282" s="1" t="str">
        <f>IFERROR(VLOOKUP(C282,Agents!$A$2:$E$26,3,FALSE),"")</f>
        <v>Pallavi Rao</v>
      </c>
      <c r="Q282" s="1" t="str">
        <f>IFERROR(VLOOKUP(C282,Agents!$A$2:$E$26,5,FALSE),"")</f>
        <v>Gurugram</v>
      </c>
      <c r="R282" s="1">
        <f>IFERROR(VLOOKUP(F282,#REF!,2,FALSE),0)</f>
        <v>0</v>
      </c>
      <c r="S282" s="1" t="str">
        <f t="shared" si="24"/>
        <v>Breached</v>
      </c>
      <c r="T282" s="1" t="str">
        <f t="shared" si="25"/>
        <v>Late</v>
      </c>
      <c r="U282" s="1" t="str">
        <f t="shared" si="26"/>
        <v>2025-02</v>
      </c>
      <c r="V282" s="1" t="str">
        <f t="shared" si="27"/>
        <v>Good</v>
      </c>
      <c r="W282" s="1" t="str">
        <f t="shared" si="28"/>
        <v>Pass</v>
      </c>
      <c r="X282" s="1" t="str">
        <f t="shared" si="29"/>
        <v>Unique</v>
      </c>
    </row>
    <row r="283" spans="1:24" ht="15" customHeight="1">
      <c r="A283" s="1" t="str">
        <f>'Raw Tickets'!$A$283</f>
        <v>T00282</v>
      </c>
      <c r="B283" s="4">
        <f>'Raw Tickets'!$B$283</f>
        <v>45858</v>
      </c>
      <c r="C283" s="1" t="str">
        <f>'Raw Tickets'!$C$283</f>
        <v>A005</v>
      </c>
      <c r="D283" s="1" t="str">
        <f>'Raw Tickets'!$D$283</f>
        <v>Call</v>
      </c>
      <c r="E283" s="1" t="str">
        <f>'Raw Tickets'!$E$283</f>
        <v>Payment Failure</v>
      </c>
      <c r="F283" s="1" t="str">
        <f>'Raw Tickets'!$F$283</f>
        <v>Medium</v>
      </c>
      <c r="G283" s="1">
        <f>'Raw Tickets'!$G$283</f>
        <v>17.3</v>
      </c>
      <c r="H283" s="1">
        <f>'Raw Tickets'!$H$283</f>
        <v>70</v>
      </c>
      <c r="I283" s="1">
        <f>'Raw Tickets'!$I$283</f>
        <v>5</v>
      </c>
      <c r="J283" s="6">
        <f>'Raw Tickets'!$J$283</f>
        <v>79.599999999999994</v>
      </c>
      <c r="K283" s="1" t="str">
        <f>'Raw Tickets'!$K$283</f>
        <v>Closed</v>
      </c>
      <c r="L283" s="1" t="str">
        <f>'Raw Tickets'!$L$283</f>
        <v>Yes</v>
      </c>
      <c r="M283" s="1" t="str">
        <f>'Raw Tickets'!$M$283</f>
        <v>No</v>
      </c>
      <c r="N283" s="1" t="str">
        <f>IFERROR(VLOOKUP(C283,Agents!$A$2:$E$26,2,FALSE),"")</f>
        <v>Aditi Verma</v>
      </c>
      <c r="O283" s="1" t="str">
        <f>IFERROR(INDEX(Agents!$D$2:$D$26,MATCH(C283,Agents!$A$2:$A$26,0)),"")</f>
        <v>Email Support</v>
      </c>
      <c r="P283" s="1" t="str">
        <f>IFERROR(VLOOKUP(C283,Agents!$A$2:$E$26,3,FALSE),"")</f>
        <v>Aman Verma</v>
      </c>
      <c r="Q283" s="1" t="str">
        <f>IFERROR(VLOOKUP(C283,Agents!$A$2:$E$26,5,FALSE),"")</f>
        <v>Gurugram</v>
      </c>
      <c r="R283" s="1">
        <f>IFERROR(VLOOKUP(F283,#REF!,2,FALSE),0)</f>
        <v>0</v>
      </c>
      <c r="S283" s="1" t="str">
        <f t="shared" si="24"/>
        <v>Breached</v>
      </c>
      <c r="T283" s="1" t="str">
        <f t="shared" si="25"/>
        <v>Late</v>
      </c>
      <c r="U283" s="1" t="str">
        <f t="shared" si="26"/>
        <v>2025-07</v>
      </c>
      <c r="V283" s="1" t="str">
        <f t="shared" si="27"/>
        <v>Good</v>
      </c>
      <c r="W283" s="1" t="str">
        <f t="shared" si="28"/>
        <v>Needs Coaching</v>
      </c>
      <c r="X283" s="1" t="str">
        <f t="shared" si="29"/>
        <v>Unique</v>
      </c>
    </row>
    <row r="284" spans="1:24" ht="15" customHeight="1">
      <c r="A284" s="1" t="str">
        <f>'Raw Tickets'!$A$284</f>
        <v>T00283</v>
      </c>
      <c r="B284" s="4">
        <f>'Raw Tickets'!$B$284</f>
        <v>45677</v>
      </c>
      <c r="C284" s="1" t="str">
        <f>'Raw Tickets'!$C$284</f>
        <v>A003</v>
      </c>
      <c r="D284" s="1" t="str">
        <f>'Raw Tickets'!$D$284</f>
        <v>Email</v>
      </c>
      <c r="E284" s="1" t="str">
        <f>'Raw Tickets'!$E$284</f>
        <v>Account Issue</v>
      </c>
      <c r="F284" s="1" t="str">
        <f>'Raw Tickets'!$F$284</f>
        <v>Medium</v>
      </c>
      <c r="G284" s="1">
        <f>'Raw Tickets'!$G$284</f>
        <v>19.899999999999999</v>
      </c>
      <c r="H284" s="1">
        <f>'Raw Tickets'!$H$284</f>
        <v>57</v>
      </c>
      <c r="I284" s="1">
        <f>'Raw Tickets'!$I$284</f>
        <v>4</v>
      </c>
      <c r="J284" s="6">
        <f>'Raw Tickets'!$J$284</f>
        <v>78.099999999999994</v>
      </c>
      <c r="K284" s="1" t="str">
        <f>'Raw Tickets'!$K$284</f>
        <v>Closed</v>
      </c>
      <c r="L284" s="1" t="str">
        <f>'Raw Tickets'!$L$284</f>
        <v>No</v>
      </c>
      <c r="M284" s="1" t="str">
        <f>'Raw Tickets'!$M$284</f>
        <v>No</v>
      </c>
      <c r="N284" s="1" t="str">
        <f>IFERROR(VLOOKUP(C284,Agents!$A$2:$E$26,2,FALSE),"")</f>
        <v>Kabir Verma</v>
      </c>
      <c r="O284" s="1" t="str">
        <f>IFERROR(INDEX(Agents!$D$2:$D$26,MATCH(C284,Agents!$A$2:$A$26,0)),"")</f>
        <v>Email Support</v>
      </c>
      <c r="P284" s="1" t="str">
        <f>IFERROR(VLOOKUP(C284,Agents!$A$2:$E$26,3,FALSE),"")</f>
        <v>Aman Verma</v>
      </c>
      <c r="Q284" s="1" t="str">
        <f>IFERROR(VLOOKUP(C284,Agents!$A$2:$E$26,5,FALSE),"")</f>
        <v>Gurugram</v>
      </c>
      <c r="R284" s="1">
        <f>IFERROR(VLOOKUP(F284,#REF!,2,FALSE),0)</f>
        <v>0</v>
      </c>
      <c r="S284" s="1" t="str">
        <f t="shared" si="24"/>
        <v>Breached</v>
      </c>
      <c r="T284" s="1" t="str">
        <f t="shared" si="25"/>
        <v>Late</v>
      </c>
      <c r="U284" s="1" t="str">
        <f t="shared" si="26"/>
        <v>2025-01</v>
      </c>
      <c r="V284" s="1" t="str">
        <f t="shared" si="27"/>
        <v>Good</v>
      </c>
      <c r="W284" s="1" t="str">
        <f t="shared" si="28"/>
        <v>Needs Coaching</v>
      </c>
      <c r="X284" s="1" t="str">
        <f t="shared" si="29"/>
        <v>Unique</v>
      </c>
    </row>
    <row r="285" spans="1:24" ht="15" customHeight="1">
      <c r="A285" s="1" t="str">
        <f>'Raw Tickets'!$A$285</f>
        <v>T00284</v>
      </c>
      <c r="B285" s="4">
        <f>'Raw Tickets'!$B$285</f>
        <v>45784</v>
      </c>
      <c r="C285" s="1" t="str">
        <f>'Raw Tickets'!$C$285</f>
        <v>A018</v>
      </c>
      <c r="D285" s="1" t="str">
        <f>'Raw Tickets'!$D$285</f>
        <v>Chat</v>
      </c>
      <c r="E285" s="1" t="str">
        <f>'Raw Tickets'!$E$285</f>
        <v>Payment Failure</v>
      </c>
      <c r="F285" s="1" t="str">
        <f>'Raw Tickets'!$F$285</f>
        <v>Medium</v>
      </c>
      <c r="G285" s="1">
        <f>'Raw Tickets'!$G$285</f>
        <v>11.6</v>
      </c>
      <c r="H285" s="1">
        <f>'Raw Tickets'!$H$285</f>
        <v>44</v>
      </c>
      <c r="I285" s="1">
        <f>'Raw Tickets'!$I$285</f>
        <v>4</v>
      </c>
      <c r="J285" s="6">
        <f>'Raw Tickets'!$J$285</f>
        <v>85.3</v>
      </c>
      <c r="K285" s="1" t="str">
        <f>'Raw Tickets'!$K$285</f>
        <v>Closed</v>
      </c>
      <c r="L285" s="1" t="str">
        <f>'Raw Tickets'!$L$285</f>
        <v>No</v>
      </c>
      <c r="M285" s="1" t="str">
        <f>'Raw Tickets'!$M$285</f>
        <v>No</v>
      </c>
      <c r="N285" s="1" t="str">
        <f>IFERROR(VLOOKUP(C285,Agents!$A$2:$E$26,2,FALSE),"")</f>
        <v>Rahul Verma</v>
      </c>
      <c r="O285" s="1" t="str">
        <f>IFERROR(INDEX(Agents!$D$2:$D$26,MATCH(C285,Agents!$A$2:$A$26,0)),"")</f>
        <v>Escalations</v>
      </c>
      <c r="P285" s="1" t="str">
        <f>IFERROR(VLOOKUP(C285,Agents!$A$2:$E$26,3,FALSE),"")</f>
        <v>Pallavi Rao</v>
      </c>
      <c r="Q285" s="1" t="str">
        <f>IFERROR(VLOOKUP(C285,Agents!$A$2:$E$26,5,FALSE),"")</f>
        <v>Hyderabad</v>
      </c>
      <c r="R285" s="1">
        <f>IFERROR(VLOOKUP(F285,#REF!,2,FALSE),0)</f>
        <v>0</v>
      </c>
      <c r="S285" s="1" t="str">
        <f t="shared" si="24"/>
        <v>Breached</v>
      </c>
      <c r="T285" s="1" t="str">
        <f t="shared" si="25"/>
        <v>Late</v>
      </c>
      <c r="U285" s="1" t="str">
        <f t="shared" si="26"/>
        <v>2025-05</v>
      </c>
      <c r="V285" s="1" t="str">
        <f t="shared" si="27"/>
        <v>Good</v>
      </c>
      <c r="W285" s="1" t="str">
        <f t="shared" si="28"/>
        <v>Pass</v>
      </c>
      <c r="X285" s="1" t="str">
        <f t="shared" si="29"/>
        <v>Unique</v>
      </c>
    </row>
    <row r="286" spans="1:24" ht="15" customHeight="1">
      <c r="A286" s="1" t="str">
        <f>'Raw Tickets'!$A$286</f>
        <v>T00285</v>
      </c>
      <c r="B286" s="4">
        <f>'Raw Tickets'!$B$286</f>
        <v>45737</v>
      </c>
      <c r="C286" s="1" t="str">
        <f>'Raw Tickets'!$C$286</f>
        <v>A002</v>
      </c>
      <c r="D286" s="1" t="str">
        <f>'Raw Tickets'!$D$286</f>
        <v>Email</v>
      </c>
      <c r="E286" s="1" t="str">
        <f>'Raw Tickets'!$E$286</f>
        <v>Refund</v>
      </c>
      <c r="F286" s="1" t="str">
        <f>'Raw Tickets'!$F$286</f>
        <v>Low</v>
      </c>
      <c r="G286" s="1">
        <f>'Raw Tickets'!$G$286</f>
        <v>29.3</v>
      </c>
      <c r="H286" s="1">
        <f>'Raw Tickets'!$H$286</f>
        <v>29</v>
      </c>
      <c r="I286" s="1">
        <f>'Raw Tickets'!$I$286</f>
        <v>5</v>
      </c>
      <c r="J286" s="6">
        <f>'Raw Tickets'!$J$286</f>
        <v>100</v>
      </c>
      <c r="K286" s="1" t="str">
        <f>'Raw Tickets'!$K$286</f>
        <v>Closed</v>
      </c>
      <c r="L286" s="1" t="str">
        <f>'Raw Tickets'!$L$286</f>
        <v>No</v>
      </c>
      <c r="M286" s="1" t="str">
        <f>'Raw Tickets'!$M$286</f>
        <v>No</v>
      </c>
      <c r="N286" s="1" t="str">
        <f>IFERROR(VLOOKUP(C286,Agents!$A$2:$E$26,2,FALSE),"")</f>
        <v>Gaurav Khan</v>
      </c>
      <c r="O286" s="1" t="str">
        <f>IFERROR(INDEX(Agents!$D$2:$D$26,MATCH(C286,Agents!$A$2:$A$26,0)),"")</f>
        <v>Email Support</v>
      </c>
      <c r="P286" s="1" t="str">
        <f>IFERROR(VLOOKUP(C286,Agents!$A$2:$E$26,3,FALSE),"")</f>
        <v>Aman Verma</v>
      </c>
      <c r="Q286" s="1" t="str">
        <f>IFERROR(VLOOKUP(C286,Agents!$A$2:$E$26,5,FALSE),"")</f>
        <v>Noida</v>
      </c>
      <c r="R286" s="1">
        <f>IFERROR(VLOOKUP(F286,#REF!,2,FALSE),0)</f>
        <v>0</v>
      </c>
      <c r="S286" s="1" t="str">
        <f t="shared" si="24"/>
        <v>Breached</v>
      </c>
      <c r="T286" s="1" t="str">
        <f t="shared" si="25"/>
        <v>Within Target</v>
      </c>
      <c r="U286" s="1" t="str">
        <f t="shared" si="26"/>
        <v>2025-03</v>
      </c>
      <c r="V286" s="1" t="str">
        <f t="shared" si="27"/>
        <v>Good</v>
      </c>
      <c r="W286" s="1" t="str">
        <f t="shared" si="28"/>
        <v>Pass</v>
      </c>
      <c r="X286" s="1" t="str">
        <f t="shared" si="29"/>
        <v>Unique</v>
      </c>
    </row>
    <row r="287" spans="1:24" ht="15" customHeight="1">
      <c r="A287" s="1" t="str">
        <f>'Raw Tickets'!$A$287</f>
        <v>T00286</v>
      </c>
      <c r="B287" s="4">
        <f>'Raw Tickets'!$B$287</f>
        <v>45693</v>
      </c>
      <c r="C287" s="1" t="str">
        <f>'Raw Tickets'!$C$287</f>
        <v>A003</v>
      </c>
      <c r="D287" s="1" t="str">
        <f>'Raw Tickets'!$D$287</f>
        <v>Email</v>
      </c>
      <c r="E287" s="1" t="str">
        <f>'Raw Tickets'!$E$287</f>
        <v>Refund</v>
      </c>
      <c r="F287" s="1" t="str">
        <f>'Raw Tickets'!$F$287</f>
        <v>Medium</v>
      </c>
      <c r="G287" s="1">
        <f>'Raw Tickets'!$G$287</f>
        <v>26.5</v>
      </c>
      <c r="H287" s="1">
        <f>'Raw Tickets'!$H$287</f>
        <v>37</v>
      </c>
      <c r="I287" s="1">
        <f>'Raw Tickets'!$I$287</f>
        <v>5</v>
      </c>
      <c r="J287" s="6">
        <f>'Raw Tickets'!$J$287</f>
        <v>88.8</v>
      </c>
      <c r="K287" s="1" t="str">
        <f>'Raw Tickets'!$K$287</f>
        <v>Open</v>
      </c>
      <c r="L287" s="1" t="str">
        <f>'Raw Tickets'!$L$287</f>
        <v>No</v>
      </c>
      <c r="M287" s="1" t="str">
        <f>'Raw Tickets'!$M$287</f>
        <v>No</v>
      </c>
      <c r="N287" s="1" t="str">
        <f>IFERROR(VLOOKUP(C287,Agents!$A$2:$E$26,2,FALSE),"")</f>
        <v>Kabir Verma</v>
      </c>
      <c r="O287" s="1" t="str">
        <f>IFERROR(INDEX(Agents!$D$2:$D$26,MATCH(C287,Agents!$A$2:$A$26,0)),"")</f>
        <v>Email Support</v>
      </c>
      <c r="P287" s="1" t="str">
        <f>IFERROR(VLOOKUP(C287,Agents!$A$2:$E$26,3,FALSE),"")</f>
        <v>Aman Verma</v>
      </c>
      <c r="Q287" s="1" t="str">
        <f>IFERROR(VLOOKUP(C287,Agents!$A$2:$E$26,5,FALSE),"")</f>
        <v>Gurugram</v>
      </c>
      <c r="R287" s="1">
        <f>IFERROR(VLOOKUP(F287,#REF!,2,FALSE),0)</f>
        <v>0</v>
      </c>
      <c r="S287" s="1" t="str">
        <f t="shared" si="24"/>
        <v>Breached</v>
      </c>
      <c r="T287" s="1" t="str">
        <f t="shared" si="25"/>
        <v>Late</v>
      </c>
      <c r="U287" s="1" t="str">
        <f t="shared" si="26"/>
        <v>2025-02</v>
      </c>
      <c r="V287" s="1" t="str">
        <f t="shared" si="27"/>
        <v>Good</v>
      </c>
      <c r="W287" s="1" t="str">
        <f t="shared" si="28"/>
        <v>Pass</v>
      </c>
      <c r="X287" s="1" t="str">
        <f t="shared" si="29"/>
        <v>Unique</v>
      </c>
    </row>
    <row r="288" spans="1:24" ht="15" customHeight="1">
      <c r="A288" s="1" t="str">
        <f>'Raw Tickets'!$A$288</f>
        <v>T00287</v>
      </c>
      <c r="B288" s="4">
        <f>'Raw Tickets'!$B$288</f>
        <v>45758</v>
      </c>
      <c r="C288" s="1" t="str">
        <f>'Raw Tickets'!$C$288</f>
        <v>A016</v>
      </c>
      <c r="D288" s="1" t="str">
        <f>'Raw Tickets'!$D$288</f>
        <v>Email</v>
      </c>
      <c r="E288" s="1" t="str">
        <f>'Raw Tickets'!$E$288</f>
        <v>Refund</v>
      </c>
      <c r="F288" s="1" t="str">
        <f>'Raw Tickets'!$F$288</f>
        <v>Low</v>
      </c>
      <c r="G288" s="1">
        <f>'Raw Tickets'!$G$288</f>
        <v>38.5</v>
      </c>
      <c r="H288" s="1">
        <f>'Raw Tickets'!$H$288</f>
        <v>19</v>
      </c>
      <c r="I288" s="1">
        <f>'Raw Tickets'!$I$288</f>
        <v>4</v>
      </c>
      <c r="J288" s="6">
        <f>'Raw Tickets'!$J$288</f>
        <v>98.7</v>
      </c>
      <c r="K288" s="1" t="str">
        <f>'Raw Tickets'!$K$288</f>
        <v>Closed</v>
      </c>
      <c r="L288" s="1" t="str">
        <f>'Raw Tickets'!$L$288</f>
        <v>No</v>
      </c>
      <c r="M288" s="1" t="str">
        <f>'Raw Tickets'!$M$288</f>
        <v>No</v>
      </c>
      <c r="N288" s="1" t="str">
        <f>IFERROR(VLOOKUP(C288,Agents!$A$2:$E$26,2,FALSE),"")</f>
        <v>Pooja Bansal</v>
      </c>
      <c r="O288" s="1" t="str">
        <f>IFERROR(INDEX(Agents!$D$2:$D$26,MATCH(C288,Agents!$A$2:$A$26,0)),"")</f>
        <v>Escalations</v>
      </c>
      <c r="P288" s="1" t="str">
        <f>IFERROR(VLOOKUP(C288,Agents!$A$2:$E$26,3,FALSE),"")</f>
        <v>Pallavi Rao</v>
      </c>
      <c r="Q288" s="1" t="str">
        <f>IFERROR(VLOOKUP(C288,Agents!$A$2:$E$26,5,FALSE),"")</f>
        <v>Hyderabad</v>
      </c>
      <c r="R288" s="1">
        <f>IFERROR(VLOOKUP(F288,#REF!,2,FALSE),0)</f>
        <v>0</v>
      </c>
      <c r="S288" s="1" t="str">
        <f t="shared" si="24"/>
        <v>Breached</v>
      </c>
      <c r="T288" s="1" t="str">
        <f t="shared" si="25"/>
        <v>Within Target</v>
      </c>
      <c r="U288" s="1" t="str">
        <f t="shared" si="26"/>
        <v>2025-04</v>
      </c>
      <c r="V288" s="1" t="str">
        <f t="shared" si="27"/>
        <v>Good</v>
      </c>
      <c r="W288" s="1" t="str">
        <f t="shared" si="28"/>
        <v>Pass</v>
      </c>
      <c r="X288" s="1" t="str">
        <f t="shared" si="29"/>
        <v>Unique</v>
      </c>
    </row>
    <row r="289" spans="1:24" ht="15" customHeight="1">
      <c r="A289" s="1" t="str">
        <f>'Raw Tickets'!$A$289</f>
        <v>T00288</v>
      </c>
      <c r="B289" s="4">
        <f>'Raw Tickets'!$B$289</f>
        <v>45670</v>
      </c>
      <c r="C289" s="1" t="str">
        <f>'Raw Tickets'!$C$289</f>
        <v>A016</v>
      </c>
      <c r="D289" s="1" t="str">
        <f>'Raw Tickets'!$D$289</f>
        <v>Chat</v>
      </c>
      <c r="E289" s="1" t="str">
        <f>'Raw Tickets'!$E$289</f>
        <v>Order Cancellation</v>
      </c>
      <c r="F289" s="1" t="str">
        <f>'Raw Tickets'!$F$289</f>
        <v>Low</v>
      </c>
      <c r="G289" s="1">
        <f>'Raw Tickets'!$G$289</f>
        <v>9.1</v>
      </c>
      <c r="H289" s="1">
        <f>'Raw Tickets'!$H$289</f>
        <v>54</v>
      </c>
      <c r="I289" s="1">
        <f>'Raw Tickets'!$I$289</f>
        <v>3</v>
      </c>
      <c r="J289" s="6">
        <f>'Raw Tickets'!$J$289</f>
        <v>94.4</v>
      </c>
      <c r="K289" s="1" t="str">
        <f>'Raw Tickets'!$K$289</f>
        <v>Closed</v>
      </c>
      <c r="L289" s="1" t="str">
        <f>'Raw Tickets'!$L$289</f>
        <v>No</v>
      </c>
      <c r="M289" s="1" t="str">
        <f>'Raw Tickets'!$M$289</f>
        <v>No</v>
      </c>
      <c r="N289" s="1" t="str">
        <f>IFERROR(VLOOKUP(C289,Agents!$A$2:$E$26,2,FALSE),"")</f>
        <v>Pooja Bansal</v>
      </c>
      <c r="O289" s="1" t="str">
        <f>IFERROR(INDEX(Agents!$D$2:$D$26,MATCH(C289,Agents!$A$2:$A$26,0)),"")</f>
        <v>Escalations</v>
      </c>
      <c r="P289" s="1" t="str">
        <f>IFERROR(VLOOKUP(C289,Agents!$A$2:$E$26,3,FALSE),"")</f>
        <v>Pallavi Rao</v>
      </c>
      <c r="Q289" s="1" t="str">
        <f>IFERROR(VLOOKUP(C289,Agents!$A$2:$E$26,5,FALSE),"")</f>
        <v>Hyderabad</v>
      </c>
      <c r="R289" s="1">
        <f>IFERROR(VLOOKUP(F289,#REF!,2,FALSE),0)</f>
        <v>0</v>
      </c>
      <c r="S289" s="1" t="str">
        <f t="shared" si="24"/>
        <v>Breached</v>
      </c>
      <c r="T289" s="1" t="str">
        <f t="shared" si="25"/>
        <v>Late</v>
      </c>
      <c r="U289" s="1" t="str">
        <f t="shared" si="26"/>
        <v>2025-01</v>
      </c>
      <c r="V289" s="1" t="str">
        <f t="shared" si="27"/>
        <v>Average</v>
      </c>
      <c r="W289" s="1" t="str">
        <f t="shared" si="28"/>
        <v>Pass</v>
      </c>
      <c r="X289" s="1" t="str">
        <f t="shared" si="29"/>
        <v>Unique</v>
      </c>
    </row>
    <row r="290" spans="1:24" ht="15" customHeight="1">
      <c r="A290" s="1" t="str">
        <f>'Raw Tickets'!$A$290</f>
        <v>T00289</v>
      </c>
      <c r="B290" s="4">
        <f>'Raw Tickets'!$B$290</f>
        <v>45890</v>
      </c>
      <c r="C290" s="1" t="str">
        <f>'Raw Tickets'!$C$290</f>
        <v>A010</v>
      </c>
      <c r="D290" s="1" t="str">
        <f>'Raw Tickets'!$D$290</f>
        <v>Chat</v>
      </c>
      <c r="E290" s="1" t="str">
        <f>'Raw Tickets'!$E$290</f>
        <v>Refund</v>
      </c>
      <c r="F290" s="1" t="str">
        <f>'Raw Tickets'!$F$290</f>
        <v>High</v>
      </c>
      <c r="G290" s="1">
        <f>'Raw Tickets'!$G$290</f>
        <v>11</v>
      </c>
      <c r="H290" s="1">
        <f>'Raw Tickets'!$H$290</f>
        <v>22</v>
      </c>
      <c r="I290" s="1">
        <f>'Raw Tickets'!$I$290</f>
        <v>3</v>
      </c>
      <c r="J290" s="6">
        <f>'Raw Tickets'!$J$290</f>
        <v>94</v>
      </c>
      <c r="K290" s="1" t="str">
        <f>'Raw Tickets'!$K$290</f>
        <v>Closed</v>
      </c>
      <c r="L290" s="1" t="str">
        <f>'Raw Tickets'!$L$290</f>
        <v>No</v>
      </c>
      <c r="M290" s="1" t="str">
        <f>'Raw Tickets'!$M$290</f>
        <v>No</v>
      </c>
      <c r="N290" s="1" t="str">
        <f>IFERROR(VLOOKUP(C290,Agents!$A$2:$E$26,2,FALSE),"")</f>
        <v>Ananya Gupta</v>
      </c>
      <c r="O290" s="1" t="str">
        <f>IFERROR(INDEX(Agents!$D$2:$D$26,MATCH(C290,Agents!$A$2:$A$26,0)),"")</f>
        <v>Voice Support</v>
      </c>
      <c r="P290" s="1" t="str">
        <f>IFERROR(VLOOKUP(C290,Agents!$A$2:$E$26,3,FALSE),"")</f>
        <v>Kritika Shah</v>
      </c>
      <c r="Q290" s="1" t="str">
        <f>IFERROR(VLOOKUP(C290,Agents!$A$2:$E$26,5,FALSE),"")</f>
        <v>Gurugram</v>
      </c>
      <c r="R290" s="1">
        <f>IFERROR(VLOOKUP(F290,#REF!,2,FALSE),0)</f>
        <v>0</v>
      </c>
      <c r="S290" s="1" t="str">
        <f t="shared" si="24"/>
        <v>Breached</v>
      </c>
      <c r="T290" s="1" t="str">
        <f t="shared" si="25"/>
        <v>Within Target</v>
      </c>
      <c r="U290" s="1" t="str">
        <f t="shared" si="26"/>
        <v>2025-08</v>
      </c>
      <c r="V290" s="1" t="str">
        <f t="shared" si="27"/>
        <v>Average</v>
      </c>
      <c r="W290" s="1" t="str">
        <f t="shared" si="28"/>
        <v>Pass</v>
      </c>
      <c r="X290" s="1" t="str">
        <f t="shared" si="29"/>
        <v>Unique</v>
      </c>
    </row>
    <row r="291" spans="1:24" ht="15" customHeight="1">
      <c r="A291" s="1" t="str">
        <f>'Raw Tickets'!$A$291</f>
        <v>T00290</v>
      </c>
      <c r="B291" s="4">
        <f>'Raw Tickets'!$B$291</f>
        <v>45755</v>
      </c>
      <c r="C291" s="1" t="str">
        <f>'Raw Tickets'!$C$291</f>
        <v>A001</v>
      </c>
      <c r="D291" s="1" t="str">
        <f>'Raw Tickets'!$D$291</f>
        <v>Chat</v>
      </c>
      <c r="E291" s="1" t="str">
        <f>'Raw Tickets'!$E$291</f>
        <v>Product Quality</v>
      </c>
      <c r="F291" s="1" t="str">
        <f>'Raw Tickets'!$F$291</f>
        <v>Medium</v>
      </c>
      <c r="G291" s="1">
        <f>'Raw Tickets'!$G$291</f>
        <v>15.1</v>
      </c>
      <c r="H291" s="1">
        <f>'Raw Tickets'!$H$291</f>
        <v>52</v>
      </c>
      <c r="I291" s="1">
        <f>'Raw Tickets'!$I$291</f>
        <v>5</v>
      </c>
      <c r="J291" s="6">
        <f>'Raw Tickets'!$J$291</f>
        <v>88.3</v>
      </c>
      <c r="K291" s="1" t="str">
        <f>'Raw Tickets'!$K$291</f>
        <v>Closed</v>
      </c>
      <c r="L291" s="1" t="str">
        <f>'Raw Tickets'!$L$291</f>
        <v>No</v>
      </c>
      <c r="M291" s="1" t="str">
        <f>'Raw Tickets'!$M$291</f>
        <v>No</v>
      </c>
      <c r="N291" s="1" t="str">
        <f>IFERROR(VLOOKUP(C291,Agents!$A$2:$E$26,2,FALSE),"")</f>
        <v>Ishita Patel</v>
      </c>
      <c r="O291" s="1" t="str">
        <f>IFERROR(INDEX(Agents!$D$2:$D$26,MATCH(C291,Agents!$A$2:$A$26,0)),"")</f>
        <v>Email Support</v>
      </c>
      <c r="P291" s="1" t="str">
        <f>IFERROR(VLOOKUP(C291,Agents!$A$2:$E$26,3,FALSE),"")</f>
        <v>Aman Verma</v>
      </c>
      <c r="Q291" s="1" t="str">
        <f>IFERROR(VLOOKUP(C291,Agents!$A$2:$E$26,5,FALSE),"")</f>
        <v>Gurugram</v>
      </c>
      <c r="R291" s="1">
        <f>IFERROR(VLOOKUP(F291,#REF!,2,FALSE),0)</f>
        <v>0</v>
      </c>
      <c r="S291" s="1" t="str">
        <f t="shared" si="24"/>
        <v>Breached</v>
      </c>
      <c r="T291" s="1" t="str">
        <f t="shared" si="25"/>
        <v>Late</v>
      </c>
      <c r="U291" s="1" t="str">
        <f t="shared" si="26"/>
        <v>2025-04</v>
      </c>
      <c r="V291" s="1" t="str">
        <f t="shared" si="27"/>
        <v>Good</v>
      </c>
      <c r="W291" s="1" t="str">
        <f t="shared" si="28"/>
        <v>Pass</v>
      </c>
      <c r="X291" s="1" t="str">
        <f t="shared" si="29"/>
        <v>Unique</v>
      </c>
    </row>
    <row r="292" spans="1:24" ht="15" customHeight="1">
      <c r="A292" s="1" t="str">
        <f>'Raw Tickets'!$A$292</f>
        <v>T00291</v>
      </c>
      <c r="B292" s="4">
        <f>'Raw Tickets'!$B$292</f>
        <v>45780</v>
      </c>
      <c r="C292" s="1" t="str">
        <f>'Raw Tickets'!$C$292</f>
        <v>A020</v>
      </c>
      <c r="D292" s="1" t="str">
        <f>'Raw Tickets'!$D$292</f>
        <v>Email</v>
      </c>
      <c r="E292" s="1" t="str">
        <f>'Raw Tickets'!$E$292</f>
        <v>Payment Failure</v>
      </c>
      <c r="F292" s="1" t="str">
        <f>'Raw Tickets'!$F$292</f>
        <v>Medium</v>
      </c>
      <c r="G292" s="1">
        <f>'Raw Tickets'!$G$292</f>
        <v>27.3</v>
      </c>
      <c r="H292" s="1">
        <f>'Raw Tickets'!$H$292</f>
        <v>25</v>
      </c>
      <c r="I292" s="1">
        <f>'Raw Tickets'!$I$292</f>
        <v>4</v>
      </c>
      <c r="J292" s="6">
        <f>'Raw Tickets'!$J$292</f>
        <v>76.8</v>
      </c>
      <c r="K292" s="1" t="str">
        <f>'Raw Tickets'!$K$292</f>
        <v>Closed</v>
      </c>
      <c r="L292" s="1" t="str">
        <f>'Raw Tickets'!$L$292</f>
        <v>No</v>
      </c>
      <c r="M292" s="1" t="str">
        <f>'Raw Tickets'!$M$292</f>
        <v>No</v>
      </c>
      <c r="N292" s="1" t="str">
        <f>IFERROR(VLOOKUP(C292,Agents!$A$2:$E$26,2,FALSE),"")</f>
        <v>Aditi Bansal</v>
      </c>
      <c r="O292" s="1" t="str">
        <f>IFERROR(INDEX(Agents!$D$2:$D$26,MATCH(C292,Agents!$A$2:$A$26,0)),"")</f>
        <v>Escalations</v>
      </c>
      <c r="P292" s="1" t="str">
        <f>IFERROR(VLOOKUP(C292,Agents!$A$2:$E$26,3,FALSE),"")</f>
        <v>Pallavi Rao</v>
      </c>
      <c r="Q292" s="1" t="str">
        <f>IFERROR(VLOOKUP(C292,Agents!$A$2:$E$26,5,FALSE),"")</f>
        <v>Noida</v>
      </c>
      <c r="R292" s="1">
        <f>IFERROR(VLOOKUP(F292,#REF!,2,FALSE),0)</f>
        <v>0</v>
      </c>
      <c r="S292" s="1" t="str">
        <f t="shared" si="24"/>
        <v>Breached</v>
      </c>
      <c r="T292" s="1" t="str">
        <f t="shared" si="25"/>
        <v>Within Target</v>
      </c>
      <c r="U292" s="1" t="str">
        <f t="shared" si="26"/>
        <v>2025-05</v>
      </c>
      <c r="V292" s="1" t="str">
        <f t="shared" si="27"/>
        <v>Good</v>
      </c>
      <c r="W292" s="1" t="str">
        <f t="shared" si="28"/>
        <v>Needs Coaching</v>
      </c>
      <c r="X292" s="1" t="str">
        <f t="shared" si="29"/>
        <v>Unique</v>
      </c>
    </row>
    <row r="293" spans="1:24" ht="15" customHeight="1">
      <c r="A293" s="1" t="str">
        <f>'Raw Tickets'!$A$293</f>
        <v>T00292</v>
      </c>
      <c r="B293" s="4">
        <f>'Raw Tickets'!$B$293</f>
        <v>45692</v>
      </c>
      <c r="C293" s="1" t="str">
        <f>'Raw Tickets'!$C$293</f>
        <v>A004</v>
      </c>
      <c r="D293" s="1" t="str">
        <f>'Raw Tickets'!$D$293</f>
        <v>Email</v>
      </c>
      <c r="E293" s="1" t="str">
        <f>'Raw Tickets'!$E$293</f>
        <v>Payment Failure</v>
      </c>
      <c r="F293" s="1" t="str">
        <f>'Raw Tickets'!$F$293</f>
        <v>Medium</v>
      </c>
      <c r="G293" s="1">
        <f>'Raw Tickets'!$G$293</f>
        <v>17.100000000000001</v>
      </c>
      <c r="H293" s="1">
        <f>'Raw Tickets'!$H$293</f>
        <v>76</v>
      </c>
      <c r="I293" s="1">
        <f>'Raw Tickets'!$I$293</f>
        <v>4</v>
      </c>
      <c r="J293" s="6">
        <f>'Raw Tickets'!$J$293</f>
        <v>83.1</v>
      </c>
      <c r="K293" s="1" t="str">
        <f>'Raw Tickets'!$K$293</f>
        <v>Closed</v>
      </c>
      <c r="L293" s="1" t="str">
        <f>'Raw Tickets'!$L$293</f>
        <v>No</v>
      </c>
      <c r="M293" s="1" t="str">
        <f>'Raw Tickets'!$M$293</f>
        <v>No</v>
      </c>
      <c r="N293" s="1" t="str">
        <f>IFERROR(VLOOKUP(C293,Agents!$A$2:$E$26,2,FALSE),"")</f>
        <v>Arjun Agarwal</v>
      </c>
      <c r="O293" s="1" t="str">
        <f>IFERROR(INDEX(Agents!$D$2:$D$26,MATCH(C293,Agents!$A$2:$A$26,0)),"")</f>
        <v>Email Support</v>
      </c>
      <c r="P293" s="1" t="str">
        <f>IFERROR(VLOOKUP(C293,Agents!$A$2:$E$26,3,FALSE),"")</f>
        <v>Aman Verma</v>
      </c>
      <c r="Q293" s="1" t="str">
        <f>IFERROR(VLOOKUP(C293,Agents!$A$2:$E$26,5,FALSE),"")</f>
        <v>Bengaluru</v>
      </c>
      <c r="R293" s="1">
        <f>IFERROR(VLOOKUP(F293,#REF!,2,FALSE),0)</f>
        <v>0</v>
      </c>
      <c r="S293" s="1" t="str">
        <f t="shared" si="24"/>
        <v>Breached</v>
      </c>
      <c r="T293" s="1" t="str">
        <f t="shared" si="25"/>
        <v>Late</v>
      </c>
      <c r="U293" s="1" t="str">
        <f t="shared" si="26"/>
        <v>2025-02</v>
      </c>
      <c r="V293" s="1" t="str">
        <f t="shared" si="27"/>
        <v>Good</v>
      </c>
      <c r="W293" s="1" t="str">
        <f t="shared" si="28"/>
        <v>Needs Coaching</v>
      </c>
      <c r="X293" s="1" t="str">
        <f t="shared" si="29"/>
        <v>Unique</v>
      </c>
    </row>
    <row r="294" spans="1:24" ht="15" customHeight="1">
      <c r="A294" s="1" t="str">
        <f>'Raw Tickets'!$A$294</f>
        <v>T00293</v>
      </c>
      <c r="B294" s="4">
        <f>'Raw Tickets'!$B$294</f>
        <v>45755</v>
      </c>
      <c r="C294" s="1" t="str">
        <f>'Raw Tickets'!$C$294</f>
        <v>A005</v>
      </c>
      <c r="D294" s="1" t="str">
        <f>'Raw Tickets'!$D$294</f>
        <v>Chat</v>
      </c>
      <c r="E294" s="1" t="str">
        <f>'Raw Tickets'!$E$294</f>
        <v>Delivery Delay</v>
      </c>
      <c r="F294" s="1" t="str">
        <f>'Raw Tickets'!$F$294</f>
        <v>Low</v>
      </c>
      <c r="G294" s="1">
        <f>'Raw Tickets'!$G$294</f>
        <v>66.5</v>
      </c>
      <c r="H294" s="1">
        <f>'Raw Tickets'!$H$294</f>
        <v>68</v>
      </c>
      <c r="I294" s="1">
        <f>'Raw Tickets'!$I$294</f>
        <v>4</v>
      </c>
      <c r="J294" s="6">
        <f>'Raw Tickets'!$J$294</f>
        <v>92.8</v>
      </c>
      <c r="K294" s="1" t="str">
        <f>'Raw Tickets'!$K$294</f>
        <v>Closed</v>
      </c>
      <c r="L294" s="1" t="str">
        <f>'Raw Tickets'!$L$294</f>
        <v>No</v>
      </c>
      <c r="M294" s="1" t="str">
        <f>'Raw Tickets'!$M$294</f>
        <v>No</v>
      </c>
      <c r="N294" s="1" t="str">
        <f>IFERROR(VLOOKUP(C294,Agents!$A$2:$E$26,2,FALSE),"")</f>
        <v>Aditi Verma</v>
      </c>
      <c r="O294" s="1" t="str">
        <f>IFERROR(INDEX(Agents!$D$2:$D$26,MATCH(C294,Agents!$A$2:$A$26,0)),"")</f>
        <v>Email Support</v>
      </c>
      <c r="P294" s="1" t="str">
        <f>IFERROR(VLOOKUP(C294,Agents!$A$2:$E$26,3,FALSE),"")</f>
        <v>Aman Verma</v>
      </c>
      <c r="Q294" s="1" t="str">
        <f>IFERROR(VLOOKUP(C294,Agents!$A$2:$E$26,5,FALSE),"")</f>
        <v>Gurugram</v>
      </c>
      <c r="R294" s="1">
        <f>IFERROR(VLOOKUP(F294,#REF!,2,FALSE),0)</f>
        <v>0</v>
      </c>
      <c r="S294" s="1" t="str">
        <f t="shared" si="24"/>
        <v>Breached</v>
      </c>
      <c r="T294" s="1" t="str">
        <f t="shared" si="25"/>
        <v>Late</v>
      </c>
      <c r="U294" s="1" t="str">
        <f t="shared" si="26"/>
        <v>2025-04</v>
      </c>
      <c r="V294" s="1" t="str">
        <f t="shared" si="27"/>
        <v>Good</v>
      </c>
      <c r="W294" s="1" t="str">
        <f t="shared" si="28"/>
        <v>Pass</v>
      </c>
      <c r="X294" s="1" t="str">
        <f t="shared" si="29"/>
        <v>Unique</v>
      </c>
    </row>
    <row r="295" spans="1:24" ht="15" customHeight="1">
      <c r="A295" s="1" t="str">
        <f>'Raw Tickets'!$A$295</f>
        <v>T00294</v>
      </c>
      <c r="B295" s="4">
        <f>'Raw Tickets'!$B$295</f>
        <v>45961</v>
      </c>
      <c r="C295" s="1" t="str">
        <f>'Raw Tickets'!$C$295</f>
        <v>A010</v>
      </c>
      <c r="D295" s="1" t="str">
        <f>'Raw Tickets'!$D$295</f>
        <v>Chat</v>
      </c>
      <c r="E295" s="1" t="str">
        <f>'Raw Tickets'!$E$295</f>
        <v>Order Cancellation</v>
      </c>
      <c r="F295" s="1" t="str">
        <f>'Raw Tickets'!$F$295</f>
        <v>Medium</v>
      </c>
      <c r="G295" s="1">
        <f>'Raw Tickets'!$G$295</f>
        <v>12</v>
      </c>
      <c r="H295" s="1">
        <f>'Raw Tickets'!$H$295</f>
        <v>31</v>
      </c>
      <c r="I295" s="1">
        <f>'Raw Tickets'!$I$295</f>
        <v>4</v>
      </c>
      <c r="J295" s="6">
        <f>'Raw Tickets'!$J$295</f>
        <v>95.6</v>
      </c>
      <c r="K295" s="1" t="str">
        <f>'Raw Tickets'!$K$295</f>
        <v>Closed</v>
      </c>
      <c r="L295" s="1" t="str">
        <f>'Raw Tickets'!$L$295</f>
        <v>No</v>
      </c>
      <c r="M295" s="1" t="str">
        <f>'Raw Tickets'!$M$295</f>
        <v>No</v>
      </c>
      <c r="N295" s="1" t="str">
        <f>IFERROR(VLOOKUP(C295,Agents!$A$2:$E$26,2,FALSE),"")</f>
        <v>Ananya Gupta</v>
      </c>
      <c r="O295" s="1" t="str">
        <f>IFERROR(INDEX(Agents!$D$2:$D$26,MATCH(C295,Agents!$A$2:$A$26,0)),"")</f>
        <v>Voice Support</v>
      </c>
      <c r="P295" s="1" t="str">
        <f>IFERROR(VLOOKUP(C295,Agents!$A$2:$E$26,3,FALSE),"")</f>
        <v>Kritika Shah</v>
      </c>
      <c r="Q295" s="1" t="str">
        <f>IFERROR(VLOOKUP(C295,Agents!$A$2:$E$26,5,FALSE),"")</f>
        <v>Gurugram</v>
      </c>
      <c r="R295" s="1">
        <f>IFERROR(VLOOKUP(F295,#REF!,2,FALSE),0)</f>
        <v>0</v>
      </c>
      <c r="S295" s="1" t="str">
        <f t="shared" si="24"/>
        <v>Breached</v>
      </c>
      <c r="T295" s="1" t="str">
        <f t="shared" si="25"/>
        <v>Late</v>
      </c>
      <c r="U295" s="1" t="str">
        <f t="shared" si="26"/>
        <v>2025-10</v>
      </c>
      <c r="V295" s="1" t="str">
        <f t="shared" si="27"/>
        <v>Good</v>
      </c>
      <c r="W295" s="1" t="str">
        <f t="shared" si="28"/>
        <v>Pass</v>
      </c>
      <c r="X295" s="1" t="str">
        <f t="shared" si="29"/>
        <v>Unique</v>
      </c>
    </row>
    <row r="296" spans="1:24" ht="15" customHeight="1">
      <c r="A296" s="1" t="str">
        <f>'Raw Tickets'!$A$296</f>
        <v>T00295</v>
      </c>
      <c r="B296" s="4">
        <f>'Raw Tickets'!$B$296</f>
        <v>45825</v>
      </c>
      <c r="C296" s="1" t="str">
        <f>'Raw Tickets'!$C$296</f>
        <v>A004</v>
      </c>
      <c r="D296" s="1" t="str">
        <f>'Raw Tickets'!$D$296</f>
        <v>Email</v>
      </c>
      <c r="E296" s="1" t="str">
        <f>'Raw Tickets'!$E$296</f>
        <v>Account Issue</v>
      </c>
      <c r="F296" s="1" t="str">
        <f>'Raw Tickets'!$F$296</f>
        <v>Low</v>
      </c>
      <c r="G296" s="1">
        <f>'Raw Tickets'!$G$296</f>
        <v>49.2</v>
      </c>
      <c r="H296" s="1">
        <f>'Raw Tickets'!$H$296</f>
        <v>44</v>
      </c>
      <c r="I296" s="1">
        <f>'Raw Tickets'!$I$296</f>
        <v>5</v>
      </c>
      <c r="J296" s="6">
        <f>'Raw Tickets'!$J$296</f>
        <v>93.5</v>
      </c>
      <c r="K296" s="1" t="str">
        <f>'Raw Tickets'!$K$296</f>
        <v>Closed</v>
      </c>
      <c r="L296" s="1" t="str">
        <f>'Raw Tickets'!$L$296</f>
        <v>No</v>
      </c>
      <c r="M296" s="1" t="str">
        <f>'Raw Tickets'!$M$296</f>
        <v>No</v>
      </c>
      <c r="N296" s="1" t="str">
        <f>IFERROR(VLOOKUP(C296,Agents!$A$2:$E$26,2,FALSE),"")</f>
        <v>Arjun Agarwal</v>
      </c>
      <c r="O296" s="1" t="str">
        <f>IFERROR(INDEX(Agents!$D$2:$D$26,MATCH(C296,Agents!$A$2:$A$26,0)),"")</f>
        <v>Email Support</v>
      </c>
      <c r="P296" s="1" t="str">
        <f>IFERROR(VLOOKUP(C296,Agents!$A$2:$E$26,3,FALSE),"")</f>
        <v>Aman Verma</v>
      </c>
      <c r="Q296" s="1" t="str">
        <f>IFERROR(VLOOKUP(C296,Agents!$A$2:$E$26,5,FALSE),"")</f>
        <v>Bengaluru</v>
      </c>
      <c r="R296" s="1">
        <f>IFERROR(VLOOKUP(F296,#REF!,2,FALSE),0)</f>
        <v>0</v>
      </c>
      <c r="S296" s="1" t="str">
        <f t="shared" si="24"/>
        <v>Breached</v>
      </c>
      <c r="T296" s="1" t="str">
        <f t="shared" si="25"/>
        <v>Late</v>
      </c>
      <c r="U296" s="1" t="str">
        <f t="shared" si="26"/>
        <v>2025-06</v>
      </c>
      <c r="V296" s="1" t="str">
        <f t="shared" si="27"/>
        <v>Good</v>
      </c>
      <c r="W296" s="1" t="str">
        <f t="shared" si="28"/>
        <v>Pass</v>
      </c>
      <c r="X296" s="1" t="str">
        <f t="shared" si="29"/>
        <v>Unique</v>
      </c>
    </row>
    <row r="297" spans="1:24" ht="15" customHeight="1">
      <c r="A297" s="1" t="str">
        <f>'Raw Tickets'!$A$297</f>
        <v>T00296</v>
      </c>
      <c r="B297" s="4">
        <f>'Raw Tickets'!$B$297</f>
        <v>45839</v>
      </c>
      <c r="C297" s="1" t="str">
        <f>'Raw Tickets'!$C$297</f>
        <v>A024</v>
      </c>
      <c r="D297" s="1" t="str">
        <f>'Raw Tickets'!$D$297</f>
        <v>Call</v>
      </c>
      <c r="E297" s="1" t="str">
        <f>'Raw Tickets'!$E$297</f>
        <v>Refund</v>
      </c>
      <c r="F297" s="1" t="str">
        <f>'Raw Tickets'!$F$297</f>
        <v>Medium</v>
      </c>
      <c r="G297" s="1">
        <f>'Raw Tickets'!$G$297</f>
        <v>31.1</v>
      </c>
      <c r="H297" s="1">
        <f>'Raw Tickets'!$H$297</f>
        <v>28</v>
      </c>
      <c r="I297" s="1">
        <f>'Raw Tickets'!$I$297</f>
        <v>4</v>
      </c>
      <c r="J297" s="6">
        <f>'Raw Tickets'!$J$297</f>
        <v>80.2</v>
      </c>
      <c r="K297" s="1" t="str">
        <f>'Raw Tickets'!$K$297</f>
        <v>Closed</v>
      </c>
      <c r="L297" s="1" t="str">
        <f>'Raw Tickets'!$L$297</f>
        <v>No</v>
      </c>
      <c r="M297" s="1" t="str">
        <f>'Raw Tickets'!$M$297</f>
        <v>No</v>
      </c>
      <c r="N297" s="1" t="str">
        <f>IFERROR(VLOOKUP(C297,Agents!$A$2:$E$26,2,FALSE),"")</f>
        <v>Rohan Verma</v>
      </c>
      <c r="O297" s="1" t="str">
        <f>IFERROR(INDEX(Agents!$D$2:$D$26,MATCH(C297,Agents!$A$2:$A$26,0)),"")</f>
        <v>Seller Support</v>
      </c>
      <c r="P297" s="1" t="str">
        <f>IFERROR(VLOOKUP(C297,Agents!$A$2:$E$26,3,FALSE),"")</f>
        <v>Vivek Jain</v>
      </c>
      <c r="Q297" s="1" t="str">
        <f>IFERROR(VLOOKUP(C297,Agents!$A$2:$E$26,5,FALSE),"")</f>
        <v>Noida</v>
      </c>
      <c r="R297" s="1">
        <f>IFERROR(VLOOKUP(F297,#REF!,2,FALSE),0)</f>
        <v>0</v>
      </c>
      <c r="S297" s="1" t="str">
        <f t="shared" si="24"/>
        <v>Breached</v>
      </c>
      <c r="T297" s="1" t="str">
        <f t="shared" si="25"/>
        <v>Within Target</v>
      </c>
      <c r="U297" s="1" t="str">
        <f t="shared" si="26"/>
        <v>2025-07</v>
      </c>
      <c r="V297" s="1" t="str">
        <f t="shared" si="27"/>
        <v>Good</v>
      </c>
      <c r="W297" s="1" t="str">
        <f t="shared" si="28"/>
        <v>Needs Coaching</v>
      </c>
      <c r="X297" s="1" t="str">
        <f t="shared" si="29"/>
        <v>Unique</v>
      </c>
    </row>
    <row r="298" spans="1:24" ht="15" customHeight="1">
      <c r="A298" s="1" t="str">
        <f>'Raw Tickets'!$A$298</f>
        <v>T00297</v>
      </c>
      <c r="B298" s="4">
        <f>'Raw Tickets'!$B$298</f>
        <v>45849</v>
      </c>
      <c r="C298" s="1" t="str">
        <f>'Raw Tickets'!$C$298</f>
        <v>A019</v>
      </c>
      <c r="D298" s="1" t="str">
        <f>'Raw Tickets'!$D$298</f>
        <v>Email</v>
      </c>
      <c r="E298" s="1" t="str">
        <f>'Raw Tickets'!$E$298</f>
        <v>Delivery Delay</v>
      </c>
      <c r="F298" s="1" t="str">
        <f>'Raw Tickets'!$F$298</f>
        <v>Medium</v>
      </c>
      <c r="G298" s="1">
        <f>'Raw Tickets'!$G$298</f>
        <v>8.9</v>
      </c>
      <c r="H298" s="1">
        <f>'Raw Tickets'!$H$298</f>
        <v>34</v>
      </c>
      <c r="I298" s="1">
        <f>'Raw Tickets'!$I$298</f>
        <v>4</v>
      </c>
      <c r="J298" s="6">
        <f>'Raw Tickets'!$J$298</f>
        <v>77.3</v>
      </c>
      <c r="K298" s="1" t="str">
        <f>'Raw Tickets'!$K$298</f>
        <v>Closed</v>
      </c>
      <c r="L298" s="1" t="str">
        <f>'Raw Tickets'!$L$298</f>
        <v>No</v>
      </c>
      <c r="M298" s="1" t="str">
        <f>'Raw Tickets'!$M$298</f>
        <v>No</v>
      </c>
      <c r="N298" s="1" t="str">
        <f>IFERROR(VLOOKUP(C298,Agents!$A$2:$E$26,2,FALSE),"")</f>
        <v>Sneha Joshi</v>
      </c>
      <c r="O298" s="1" t="str">
        <f>IFERROR(INDEX(Agents!$D$2:$D$26,MATCH(C298,Agents!$A$2:$A$26,0)),"")</f>
        <v>Escalations</v>
      </c>
      <c r="P298" s="1" t="str">
        <f>IFERROR(VLOOKUP(C298,Agents!$A$2:$E$26,3,FALSE),"")</f>
        <v>Pallavi Rao</v>
      </c>
      <c r="Q298" s="1" t="str">
        <f>IFERROR(VLOOKUP(C298,Agents!$A$2:$E$26,5,FALSE),"")</f>
        <v>Hyderabad</v>
      </c>
      <c r="R298" s="1">
        <f>IFERROR(VLOOKUP(F298,#REF!,2,FALSE),0)</f>
        <v>0</v>
      </c>
      <c r="S298" s="1" t="str">
        <f t="shared" si="24"/>
        <v>Breached</v>
      </c>
      <c r="T298" s="1" t="str">
        <f t="shared" si="25"/>
        <v>Late</v>
      </c>
      <c r="U298" s="1" t="str">
        <f t="shared" si="26"/>
        <v>2025-07</v>
      </c>
      <c r="V298" s="1" t="str">
        <f t="shared" si="27"/>
        <v>Good</v>
      </c>
      <c r="W298" s="1" t="str">
        <f t="shared" si="28"/>
        <v>Needs Coaching</v>
      </c>
      <c r="X298" s="1" t="str">
        <f t="shared" si="29"/>
        <v>Unique</v>
      </c>
    </row>
    <row r="299" spans="1:24" ht="15" customHeight="1">
      <c r="A299" s="1" t="str">
        <f>'Raw Tickets'!$A$299</f>
        <v>T00298</v>
      </c>
      <c r="B299" s="4">
        <f>'Raw Tickets'!$B$299</f>
        <v>45805</v>
      </c>
      <c r="C299" s="1" t="str">
        <f>'Raw Tickets'!$C$299</f>
        <v>A003</v>
      </c>
      <c r="D299" s="1" t="str">
        <f>'Raw Tickets'!$D$299</f>
        <v>Chat</v>
      </c>
      <c r="E299" s="1" t="str">
        <f>'Raw Tickets'!$E$299</f>
        <v>Order Cancellation</v>
      </c>
      <c r="F299" s="1" t="str">
        <f>'Raw Tickets'!$F$299</f>
        <v>High</v>
      </c>
      <c r="G299" s="1">
        <f>'Raw Tickets'!$G$299</f>
        <v>10.5</v>
      </c>
      <c r="H299" s="1">
        <f>'Raw Tickets'!$H$299</f>
        <v>34</v>
      </c>
      <c r="I299" s="1">
        <f>'Raw Tickets'!$I$299</f>
        <v>5</v>
      </c>
      <c r="J299" s="6">
        <f>'Raw Tickets'!$J$299</f>
        <v>93.8</v>
      </c>
      <c r="K299" s="1" t="str">
        <f>'Raw Tickets'!$K$299</f>
        <v>Closed</v>
      </c>
      <c r="L299" s="1" t="str">
        <f>'Raw Tickets'!$L$299</f>
        <v>No</v>
      </c>
      <c r="M299" s="1" t="str">
        <f>'Raw Tickets'!$M$299</f>
        <v>Yes</v>
      </c>
      <c r="N299" s="1" t="str">
        <f>IFERROR(VLOOKUP(C299,Agents!$A$2:$E$26,2,FALSE),"")</f>
        <v>Kabir Verma</v>
      </c>
      <c r="O299" s="1" t="str">
        <f>IFERROR(INDEX(Agents!$D$2:$D$26,MATCH(C299,Agents!$A$2:$A$26,0)),"")</f>
        <v>Email Support</v>
      </c>
      <c r="P299" s="1" t="str">
        <f>IFERROR(VLOOKUP(C299,Agents!$A$2:$E$26,3,FALSE),"")</f>
        <v>Aman Verma</v>
      </c>
      <c r="Q299" s="1" t="str">
        <f>IFERROR(VLOOKUP(C299,Agents!$A$2:$E$26,5,FALSE),"")</f>
        <v>Gurugram</v>
      </c>
      <c r="R299" s="1">
        <f>IFERROR(VLOOKUP(F299,#REF!,2,FALSE),0)</f>
        <v>0</v>
      </c>
      <c r="S299" s="1" t="str">
        <f t="shared" si="24"/>
        <v>Breached</v>
      </c>
      <c r="T299" s="1" t="str">
        <f t="shared" si="25"/>
        <v>Late</v>
      </c>
      <c r="U299" s="1" t="str">
        <f t="shared" si="26"/>
        <v>2025-05</v>
      </c>
      <c r="V299" s="1" t="str">
        <f t="shared" si="27"/>
        <v>Good</v>
      </c>
      <c r="W299" s="1" t="str">
        <f t="shared" si="28"/>
        <v>Pass</v>
      </c>
      <c r="X299" s="1" t="str">
        <f t="shared" si="29"/>
        <v>Unique</v>
      </c>
    </row>
    <row r="300" spans="1:24" ht="15" customHeight="1">
      <c r="A300" s="1" t="str">
        <f>'Raw Tickets'!$A$300</f>
        <v>T00299</v>
      </c>
      <c r="B300" s="4">
        <f>'Raw Tickets'!$B$300</f>
        <v>45974</v>
      </c>
      <c r="C300" s="1" t="str">
        <f>'Raw Tickets'!$C$300</f>
        <v>A009</v>
      </c>
      <c r="D300" s="1" t="str">
        <f>'Raw Tickets'!$D$300</f>
        <v>Email</v>
      </c>
      <c r="E300" s="1" t="str">
        <f>'Raw Tickets'!$E$300</f>
        <v>Account Issue</v>
      </c>
      <c r="F300" s="1" t="str">
        <f>'Raw Tickets'!$F$300</f>
        <v>Critical</v>
      </c>
      <c r="G300" s="1">
        <f>'Raw Tickets'!$G$300</f>
        <v>3.8</v>
      </c>
      <c r="H300" s="1">
        <f>'Raw Tickets'!$H$300</f>
        <v>25</v>
      </c>
      <c r="I300" s="1">
        <f>'Raw Tickets'!$I$300</f>
        <v>5</v>
      </c>
      <c r="J300" s="6">
        <f>'Raw Tickets'!$J$300</f>
        <v>95.7</v>
      </c>
      <c r="K300" s="1" t="str">
        <f>'Raw Tickets'!$K$300</f>
        <v>Closed</v>
      </c>
      <c r="L300" s="1" t="str">
        <f>'Raw Tickets'!$L$300</f>
        <v>No</v>
      </c>
      <c r="M300" s="1" t="str">
        <f>'Raw Tickets'!$M$300</f>
        <v>Yes</v>
      </c>
      <c r="N300" s="1" t="str">
        <f>IFERROR(VLOOKUP(C300,Agents!$A$2:$E$26,2,FALSE),"")</f>
        <v>Divya Mehta</v>
      </c>
      <c r="O300" s="1" t="str">
        <f>IFERROR(INDEX(Agents!$D$2:$D$26,MATCH(C300,Agents!$A$2:$A$26,0)),"")</f>
        <v>Voice Support</v>
      </c>
      <c r="P300" s="1" t="str">
        <f>IFERROR(VLOOKUP(C300,Agents!$A$2:$E$26,3,FALSE),"")</f>
        <v>Kritika Shah</v>
      </c>
      <c r="Q300" s="1" t="str">
        <f>IFERROR(VLOOKUP(C300,Agents!$A$2:$E$26,5,FALSE),"")</f>
        <v>Gurugram</v>
      </c>
      <c r="R300" s="1">
        <f>IFERROR(VLOOKUP(F300,#REF!,2,FALSE),0)</f>
        <v>0</v>
      </c>
      <c r="S300" s="1" t="str">
        <f t="shared" si="24"/>
        <v>Breached</v>
      </c>
      <c r="T300" s="1" t="str">
        <f t="shared" si="25"/>
        <v>Within Target</v>
      </c>
      <c r="U300" s="1" t="str">
        <f t="shared" si="26"/>
        <v>2025-11</v>
      </c>
      <c r="V300" s="1" t="str">
        <f t="shared" si="27"/>
        <v>Good</v>
      </c>
      <c r="W300" s="1" t="str">
        <f t="shared" si="28"/>
        <v>Pass</v>
      </c>
      <c r="X300" s="1" t="str">
        <f t="shared" si="29"/>
        <v>Unique</v>
      </c>
    </row>
    <row r="301" spans="1:24" ht="15" customHeight="1">
      <c r="A301" s="1" t="str">
        <f>'Raw Tickets'!$A$301</f>
        <v>T00300</v>
      </c>
      <c r="B301" s="4">
        <f>'Raw Tickets'!$B$301</f>
        <v>45753</v>
      </c>
      <c r="C301" s="1" t="str">
        <f>'Raw Tickets'!$C$301</f>
        <v>A014</v>
      </c>
      <c r="D301" s="1" t="str">
        <f>'Raw Tickets'!$D$301</f>
        <v>Email</v>
      </c>
      <c r="E301" s="1" t="str">
        <f>'Raw Tickets'!$E$301</f>
        <v>Payment Failure</v>
      </c>
      <c r="F301" s="1" t="str">
        <f>'Raw Tickets'!$F$301</f>
        <v>Medium</v>
      </c>
      <c r="G301" s="1">
        <f>'Raw Tickets'!$G$301</f>
        <v>8.9</v>
      </c>
      <c r="H301" s="1">
        <f>'Raw Tickets'!$H$301</f>
        <v>27</v>
      </c>
      <c r="I301" s="1">
        <f>'Raw Tickets'!$I$301</f>
        <v>3</v>
      </c>
      <c r="J301" s="6">
        <f>'Raw Tickets'!$J$301</f>
        <v>94.2</v>
      </c>
      <c r="K301" s="1" t="str">
        <f>'Raw Tickets'!$K$301</f>
        <v>Closed</v>
      </c>
      <c r="L301" s="1" t="str">
        <f>'Raw Tickets'!$L$301</f>
        <v>No</v>
      </c>
      <c r="M301" s="1" t="str">
        <f>'Raw Tickets'!$M$301</f>
        <v>No</v>
      </c>
      <c r="N301" s="1" t="str">
        <f>IFERROR(VLOOKUP(C301,Agents!$A$2:$E$26,2,FALSE),"")</f>
        <v>Ananya Jain</v>
      </c>
      <c r="O301" s="1" t="str">
        <f>IFERROR(INDEX(Agents!$D$2:$D$26,MATCH(C301,Agents!$A$2:$A$26,0)),"")</f>
        <v>Chat Support</v>
      </c>
      <c r="P301" s="1" t="str">
        <f>IFERROR(VLOOKUP(C301,Agents!$A$2:$E$26,3,FALSE),"")</f>
        <v>Nitin Gupta</v>
      </c>
      <c r="Q301" s="1" t="str">
        <f>IFERROR(VLOOKUP(C301,Agents!$A$2:$E$26,5,FALSE),"")</f>
        <v>Bengaluru</v>
      </c>
      <c r="R301" s="1">
        <f>IFERROR(VLOOKUP(F301,#REF!,2,FALSE),0)</f>
        <v>0</v>
      </c>
      <c r="S301" s="1" t="str">
        <f t="shared" si="24"/>
        <v>Breached</v>
      </c>
      <c r="T301" s="1" t="str">
        <f t="shared" si="25"/>
        <v>Within Target</v>
      </c>
      <c r="U301" s="1" t="str">
        <f t="shared" si="26"/>
        <v>2025-04</v>
      </c>
      <c r="V301" s="1" t="str">
        <f t="shared" si="27"/>
        <v>Average</v>
      </c>
      <c r="W301" s="1" t="str">
        <f t="shared" si="28"/>
        <v>Pass</v>
      </c>
      <c r="X301" s="1" t="str">
        <f t="shared" si="29"/>
        <v>Unique</v>
      </c>
    </row>
    <row r="302" spans="1:24" ht="15" customHeight="1">
      <c r="A302" s="1" t="str">
        <f>'Raw Tickets'!$A$302</f>
        <v>T00301</v>
      </c>
      <c r="B302" s="4">
        <f>'Raw Tickets'!$B$302</f>
        <v>45934</v>
      </c>
      <c r="C302" s="1" t="str">
        <f>'Raw Tickets'!$C$302</f>
        <v>A002</v>
      </c>
      <c r="D302" s="1" t="str">
        <f>'Raw Tickets'!$D$302</f>
        <v>Chat</v>
      </c>
      <c r="E302" s="1" t="str">
        <f>'Raw Tickets'!$E$302</f>
        <v>Account Issue</v>
      </c>
      <c r="F302" s="1" t="str">
        <f>'Raw Tickets'!$F$302</f>
        <v>Low</v>
      </c>
      <c r="G302" s="1">
        <f>'Raw Tickets'!$G$302</f>
        <v>36.6</v>
      </c>
      <c r="H302" s="1">
        <f>'Raw Tickets'!$H$302</f>
        <v>51</v>
      </c>
      <c r="I302" s="1">
        <f>'Raw Tickets'!$I$302</f>
        <v>3</v>
      </c>
      <c r="J302" s="6">
        <f>'Raw Tickets'!$J$302</f>
        <v>87.7</v>
      </c>
      <c r="K302" s="1" t="str">
        <f>'Raw Tickets'!$K$302</f>
        <v>Closed</v>
      </c>
      <c r="L302" s="1" t="str">
        <f>'Raw Tickets'!$L$302</f>
        <v>No</v>
      </c>
      <c r="M302" s="1" t="str">
        <f>'Raw Tickets'!$M$302</f>
        <v>No</v>
      </c>
      <c r="N302" s="1" t="str">
        <f>IFERROR(VLOOKUP(C302,Agents!$A$2:$E$26,2,FALSE),"")</f>
        <v>Gaurav Khan</v>
      </c>
      <c r="O302" s="1" t="str">
        <f>IFERROR(INDEX(Agents!$D$2:$D$26,MATCH(C302,Agents!$A$2:$A$26,0)),"")</f>
        <v>Email Support</v>
      </c>
      <c r="P302" s="1" t="str">
        <f>IFERROR(VLOOKUP(C302,Agents!$A$2:$E$26,3,FALSE),"")</f>
        <v>Aman Verma</v>
      </c>
      <c r="Q302" s="1" t="str">
        <f>IFERROR(VLOOKUP(C302,Agents!$A$2:$E$26,5,FALSE),"")</f>
        <v>Noida</v>
      </c>
      <c r="R302" s="1">
        <f>IFERROR(VLOOKUP(F302,#REF!,2,FALSE),0)</f>
        <v>0</v>
      </c>
      <c r="S302" s="1" t="str">
        <f t="shared" si="24"/>
        <v>Breached</v>
      </c>
      <c r="T302" s="1" t="str">
        <f t="shared" si="25"/>
        <v>Late</v>
      </c>
      <c r="U302" s="1" t="str">
        <f t="shared" si="26"/>
        <v>2025-10</v>
      </c>
      <c r="V302" s="1" t="str">
        <f t="shared" si="27"/>
        <v>Average</v>
      </c>
      <c r="W302" s="1" t="str">
        <f t="shared" si="28"/>
        <v>Pass</v>
      </c>
      <c r="X302" s="1" t="str">
        <f t="shared" si="29"/>
        <v>Unique</v>
      </c>
    </row>
    <row r="303" spans="1:24" ht="15" customHeight="1">
      <c r="A303" s="1" t="str">
        <f>'Raw Tickets'!$A$303</f>
        <v>T00302</v>
      </c>
      <c r="B303" s="4">
        <f>'Raw Tickets'!$B$303</f>
        <v>45697</v>
      </c>
      <c r="C303" s="1" t="str">
        <f>'Raw Tickets'!$C$303</f>
        <v>A010</v>
      </c>
      <c r="D303" s="1" t="str">
        <f>'Raw Tickets'!$D$303</f>
        <v>Email</v>
      </c>
      <c r="E303" s="1" t="str">
        <f>'Raw Tickets'!$E$303</f>
        <v>Product Quality</v>
      </c>
      <c r="F303" s="1" t="str">
        <f>'Raw Tickets'!$F$303</f>
        <v>Medium</v>
      </c>
      <c r="G303" s="1">
        <f>'Raw Tickets'!$G$303</f>
        <v>10.4</v>
      </c>
      <c r="H303" s="1">
        <f>'Raw Tickets'!$H$303</f>
        <v>46</v>
      </c>
      <c r="I303" s="1">
        <f>'Raw Tickets'!$I$303</f>
        <v>3</v>
      </c>
      <c r="J303" s="6">
        <f>'Raw Tickets'!$J$303</f>
        <v>100</v>
      </c>
      <c r="K303" s="1" t="str">
        <f>'Raw Tickets'!$K$303</f>
        <v>Closed</v>
      </c>
      <c r="L303" s="1" t="str">
        <f>'Raw Tickets'!$L$303</f>
        <v>Yes</v>
      </c>
      <c r="M303" s="1" t="str">
        <f>'Raw Tickets'!$M$303</f>
        <v>No</v>
      </c>
      <c r="N303" s="1" t="str">
        <f>IFERROR(VLOOKUP(C303,Agents!$A$2:$E$26,2,FALSE),"")</f>
        <v>Ananya Gupta</v>
      </c>
      <c r="O303" s="1" t="str">
        <f>IFERROR(INDEX(Agents!$D$2:$D$26,MATCH(C303,Agents!$A$2:$A$26,0)),"")</f>
        <v>Voice Support</v>
      </c>
      <c r="P303" s="1" t="str">
        <f>IFERROR(VLOOKUP(C303,Agents!$A$2:$E$26,3,FALSE),"")</f>
        <v>Kritika Shah</v>
      </c>
      <c r="Q303" s="1" t="str">
        <f>IFERROR(VLOOKUP(C303,Agents!$A$2:$E$26,5,FALSE),"")</f>
        <v>Gurugram</v>
      </c>
      <c r="R303" s="1">
        <f>IFERROR(VLOOKUP(F303,#REF!,2,FALSE),0)</f>
        <v>0</v>
      </c>
      <c r="S303" s="1" t="str">
        <f t="shared" si="24"/>
        <v>Breached</v>
      </c>
      <c r="T303" s="1" t="str">
        <f t="shared" si="25"/>
        <v>Late</v>
      </c>
      <c r="U303" s="1" t="str">
        <f t="shared" si="26"/>
        <v>2025-02</v>
      </c>
      <c r="V303" s="1" t="str">
        <f t="shared" si="27"/>
        <v>Average</v>
      </c>
      <c r="W303" s="1" t="str">
        <f t="shared" si="28"/>
        <v>Pass</v>
      </c>
      <c r="X303" s="1" t="str">
        <f t="shared" si="29"/>
        <v>Unique</v>
      </c>
    </row>
    <row r="304" spans="1:24" ht="15" customHeight="1">
      <c r="A304" s="1" t="str">
        <f>'Raw Tickets'!$A$304</f>
        <v>T00303</v>
      </c>
      <c r="B304" s="4">
        <f>'Raw Tickets'!$B$304</f>
        <v>45658</v>
      </c>
      <c r="C304" s="1" t="str">
        <f>'Raw Tickets'!$C$304</f>
        <v>A010</v>
      </c>
      <c r="D304" s="1" t="str">
        <f>'Raw Tickets'!$D$304</f>
        <v>Email</v>
      </c>
      <c r="E304" s="1" t="str">
        <f>'Raw Tickets'!$E$304</f>
        <v>Product Quality</v>
      </c>
      <c r="F304" s="1" t="str">
        <f>'Raw Tickets'!$F$304</f>
        <v>High</v>
      </c>
      <c r="G304" s="1">
        <f>'Raw Tickets'!$G$304</f>
        <v>12.3</v>
      </c>
      <c r="H304" s="1">
        <f>'Raw Tickets'!$H$304</f>
        <v>10</v>
      </c>
      <c r="I304" s="1">
        <f>'Raw Tickets'!$I$304</f>
        <v>5</v>
      </c>
      <c r="J304" s="6">
        <f>'Raw Tickets'!$J$304</f>
        <v>79</v>
      </c>
      <c r="K304" s="1" t="str">
        <f>'Raw Tickets'!$K$304</f>
        <v>Closed</v>
      </c>
      <c r="L304" s="1" t="str">
        <f>'Raw Tickets'!$L$304</f>
        <v>No</v>
      </c>
      <c r="M304" s="1" t="str">
        <f>'Raw Tickets'!$M$304</f>
        <v>No</v>
      </c>
      <c r="N304" s="1" t="str">
        <f>IFERROR(VLOOKUP(C304,Agents!$A$2:$E$26,2,FALSE),"")</f>
        <v>Ananya Gupta</v>
      </c>
      <c r="O304" s="1" t="str">
        <f>IFERROR(INDEX(Agents!$D$2:$D$26,MATCH(C304,Agents!$A$2:$A$26,0)),"")</f>
        <v>Voice Support</v>
      </c>
      <c r="P304" s="1" t="str">
        <f>IFERROR(VLOOKUP(C304,Agents!$A$2:$E$26,3,FALSE),"")</f>
        <v>Kritika Shah</v>
      </c>
      <c r="Q304" s="1" t="str">
        <f>IFERROR(VLOOKUP(C304,Agents!$A$2:$E$26,5,FALSE),"")</f>
        <v>Gurugram</v>
      </c>
      <c r="R304" s="1">
        <f>IFERROR(VLOOKUP(F304,#REF!,2,FALSE),0)</f>
        <v>0</v>
      </c>
      <c r="S304" s="1" t="str">
        <f t="shared" si="24"/>
        <v>Breached</v>
      </c>
      <c r="T304" s="1" t="str">
        <f t="shared" si="25"/>
        <v>Within Target</v>
      </c>
      <c r="U304" s="1" t="str">
        <f t="shared" si="26"/>
        <v>2025-01</v>
      </c>
      <c r="V304" s="1" t="str">
        <f t="shared" si="27"/>
        <v>Good</v>
      </c>
      <c r="W304" s="1" t="str">
        <f t="shared" si="28"/>
        <v>Needs Coaching</v>
      </c>
      <c r="X304" s="1" t="str">
        <f t="shared" si="29"/>
        <v>Unique</v>
      </c>
    </row>
    <row r="305" spans="1:24" ht="15" customHeight="1">
      <c r="A305" s="1" t="str">
        <f>'Raw Tickets'!$A$305</f>
        <v>T00304</v>
      </c>
      <c r="B305" s="4">
        <f>'Raw Tickets'!$B$305</f>
        <v>45862</v>
      </c>
      <c r="C305" s="1" t="str">
        <f>'Raw Tickets'!$C$305</f>
        <v>A013</v>
      </c>
      <c r="D305" s="1" t="str">
        <f>'Raw Tickets'!$D$305</f>
        <v>Chat</v>
      </c>
      <c r="E305" s="1" t="str">
        <f>'Raw Tickets'!$E$305</f>
        <v>Account Issue</v>
      </c>
      <c r="F305" s="1" t="str">
        <f>'Raw Tickets'!$F$305</f>
        <v>Medium</v>
      </c>
      <c r="G305" s="1">
        <f>'Raw Tickets'!$G$305</f>
        <v>9.9</v>
      </c>
      <c r="H305" s="1">
        <f>'Raw Tickets'!$H$305</f>
        <v>12</v>
      </c>
      <c r="I305" s="1">
        <f>'Raw Tickets'!$I$305</f>
        <v>4</v>
      </c>
      <c r="J305" s="6">
        <f>'Raw Tickets'!$J$305</f>
        <v>81.5</v>
      </c>
      <c r="K305" s="1" t="str">
        <f>'Raw Tickets'!$K$305</f>
        <v>Closed</v>
      </c>
      <c r="L305" s="1" t="str">
        <f>'Raw Tickets'!$L$305</f>
        <v>No</v>
      </c>
      <c r="M305" s="1" t="str">
        <f>'Raw Tickets'!$M$305</f>
        <v>No</v>
      </c>
      <c r="N305" s="1" t="str">
        <f>IFERROR(VLOOKUP(C305,Agents!$A$2:$E$26,2,FALSE),"")</f>
        <v>Ananya Jain</v>
      </c>
      <c r="O305" s="1" t="str">
        <f>IFERROR(INDEX(Agents!$D$2:$D$26,MATCH(C305,Agents!$A$2:$A$26,0)),"")</f>
        <v>Chat Support</v>
      </c>
      <c r="P305" s="1" t="str">
        <f>IFERROR(VLOOKUP(C305,Agents!$A$2:$E$26,3,FALSE),"")</f>
        <v>Nitin Gupta</v>
      </c>
      <c r="Q305" s="1" t="str">
        <f>IFERROR(VLOOKUP(C305,Agents!$A$2:$E$26,5,FALSE),"")</f>
        <v>Hyderabad</v>
      </c>
      <c r="R305" s="1">
        <f>IFERROR(VLOOKUP(F305,#REF!,2,FALSE),0)</f>
        <v>0</v>
      </c>
      <c r="S305" s="1" t="str">
        <f t="shared" si="24"/>
        <v>Breached</v>
      </c>
      <c r="T305" s="1" t="str">
        <f t="shared" si="25"/>
        <v>Within Target</v>
      </c>
      <c r="U305" s="1" t="str">
        <f t="shared" si="26"/>
        <v>2025-07</v>
      </c>
      <c r="V305" s="1" t="str">
        <f t="shared" si="27"/>
        <v>Good</v>
      </c>
      <c r="W305" s="1" t="str">
        <f t="shared" si="28"/>
        <v>Needs Coaching</v>
      </c>
      <c r="X305" s="1" t="str">
        <f t="shared" si="29"/>
        <v>Unique</v>
      </c>
    </row>
    <row r="306" spans="1:24" ht="15" customHeight="1">
      <c r="A306" s="1" t="str">
        <f>'Raw Tickets'!$A$306</f>
        <v>T00305</v>
      </c>
      <c r="B306" s="4">
        <f>'Raw Tickets'!$B$306</f>
        <v>45691</v>
      </c>
      <c r="C306" s="1" t="str">
        <f>'Raw Tickets'!$C$306</f>
        <v>A010</v>
      </c>
      <c r="D306" s="1" t="str">
        <f>'Raw Tickets'!$D$306</f>
        <v>Email</v>
      </c>
      <c r="E306" s="1" t="str">
        <f>'Raw Tickets'!$E$306</f>
        <v>Account Issue</v>
      </c>
      <c r="F306" s="1" t="str">
        <f>'Raw Tickets'!$F$306</f>
        <v>Low</v>
      </c>
      <c r="G306" s="1">
        <f>'Raw Tickets'!$G$306</f>
        <v>54.2</v>
      </c>
      <c r="H306" s="1">
        <f>'Raw Tickets'!$H$306</f>
        <v>46</v>
      </c>
      <c r="I306" s="1">
        <f>'Raw Tickets'!$I$306</f>
        <v>2</v>
      </c>
      <c r="J306" s="6">
        <f>'Raw Tickets'!$J$306</f>
        <v>77.3</v>
      </c>
      <c r="K306" s="1" t="str">
        <f>'Raw Tickets'!$K$306</f>
        <v>Closed</v>
      </c>
      <c r="L306" s="1" t="str">
        <f>'Raw Tickets'!$L$306</f>
        <v>No</v>
      </c>
      <c r="M306" s="1" t="str">
        <f>'Raw Tickets'!$M$306</f>
        <v>No</v>
      </c>
      <c r="N306" s="1" t="str">
        <f>IFERROR(VLOOKUP(C306,Agents!$A$2:$E$26,2,FALSE),"")</f>
        <v>Ananya Gupta</v>
      </c>
      <c r="O306" s="1" t="str">
        <f>IFERROR(INDEX(Agents!$D$2:$D$26,MATCH(C306,Agents!$A$2:$A$26,0)),"")</f>
        <v>Voice Support</v>
      </c>
      <c r="P306" s="1" t="str">
        <f>IFERROR(VLOOKUP(C306,Agents!$A$2:$E$26,3,FALSE),"")</f>
        <v>Kritika Shah</v>
      </c>
      <c r="Q306" s="1" t="str">
        <f>IFERROR(VLOOKUP(C306,Agents!$A$2:$E$26,5,FALSE),"")</f>
        <v>Gurugram</v>
      </c>
      <c r="R306" s="1">
        <f>IFERROR(VLOOKUP(F306,#REF!,2,FALSE),0)</f>
        <v>0</v>
      </c>
      <c r="S306" s="1" t="str">
        <f t="shared" si="24"/>
        <v>Breached</v>
      </c>
      <c r="T306" s="1" t="str">
        <f t="shared" si="25"/>
        <v>Late</v>
      </c>
      <c r="U306" s="1" t="str">
        <f t="shared" si="26"/>
        <v>2025-02</v>
      </c>
      <c r="V306" s="1" t="str">
        <f t="shared" si="27"/>
        <v>Poor</v>
      </c>
      <c r="W306" s="1" t="str">
        <f t="shared" si="28"/>
        <v>Needs Coaching</v>
      </c>
      <c r="X306" s="1" t="str">
        <f t="shared" si="29"/>
        <v>Unique</v>
      </c>
    </row>
    <row r="307" spans="1:24" ht="15" customHeight="1">
      <c r="A307" s="1" t="str">
        <f>'Raw Tickets'!$A$307</f>
        <v>T00306</v>
      </c>
      <c r="B307" s="4">
        <f>'Raw Tickets'!$B$307</f>
        <v>46014</v>
      </c>
      <c r="C307" s="1" t="str">
        <f>'Raw Tickets'!$C$307</f>
        <v>A008</v>
      </c>
      <c r="D307" s="1" t="str">
        <f>'Raw Tickets'!$D$307</f>
        <v>Email</v>
      </c>
      <c r="E307" s="1" t="str">
        <f>'Raw Tickets'!$E$307</f>
        <v>Account Issue</v>
      </c>
      <c r="F307" s="1" t="str">
        <f>'Raw Tickets'!$F$307</f>
        <v>Low</v>
      </c>
      <c r="G307" s="1">
        <f>'Raw Tickets'!$G$307</f>
        <v>57.1</v>
      </c>
      <c r="H307" s="1">
        <f>'Raw Tickets'!$H$307</f>
        <v>42</v>
      </c>
      <c r="I307" s="1">
        <f>'Raw Tickets'!$I$307</f>
        <v>3</v>
      </c>
      <c r="J307" s="6">
        <f>'Raw Tickets'!$J$307</f>
        <v>79.7</v>
      </c>
      <c r="K307" s="1" t="str">
        <f>'Raw Tickets'!$K$307</f>
        <v>Closed</v>
      </c>
      <c r="L307" s="1" t="str">
        <f>'Raw Tickets'!$L$307</f>
        <v>Yes</v>
      </c>
      <c r="M307" s="1" t="str">
        <f>'Raw Tickets'!$M$307</f>
        <v>No</v>
      </c>
      <c r="N307" s="1" t="str">
        <f>IFERROR(VLOOKUP(C307,Agents!$A$2:$E$26,2,FALSE),"")</f>
        <v>Ananya Mishra</v>
      </c>
      <c r="O307" s="1" t="str">
        <f>IFERROR(INDEX(Agents!$D$2:$D$26,MATCH(C307,Agents!$A$2:$A$26,0)),"")</f>
        <v>Voice Support</v>
      </c>
      <c r="P307" s="1" t="str">
        <f>IFERROR(VLOOKUP(C307,Agents!$A$2:$E$26,3,FALSE),"")</f>
        <v>Kritika Shah</v>
      </c>
      <c r="Q307" s="1" t="str">
        <f>IFERROR(VLOOKUP(C307,Agents!$A$2:$E$26,5,FALSE),"")</f>
        <v>Hyderabad</v>
      </c>
      <c r="R307" s="1">
        <f>IFERROR(VLOOKUP(F307,#REF!,2,FALSE),0)</f>
        <v>0</v>
      </c>
      <c r="S307" s="1" t="str">
        <f t="shared" si="24"/>
        <v>Breached</v>
      </c>
      <c r="T307" s="1" t="str">
        <f t="shared" si="25"/>
        <v>Late</v>
      </c>
      <c r="U307" s="1" t="str">
        <f t="shared" si="26"/>
        <v>2025-12</v>
      </c>
      <c r="V307" s="1" t="str">
        <f t="shared" si="27"/>
        <v>Average</v>
      </c>
      <c r="W307" s="1" t="str">
        <f t="shared" si="28"/>
        <v>Needs Coaching</v>
      </c>
      <c r="X307" s="1" t="str">
        <f t="shared" si="29"/>
        <v>Unique</v>
      </c>
    </row>
    <row r="308" spans="1:24" ht="15" customHeight="1">
      <c r="A308" s="1" t="str">
        <f>'Raw Tickets'!$A$308</f>
        <v>T00307</v>
      </c>
      <c r="B308" s="4">
        <f>'Raw Tickets'!$B$308</f>
        <v>45885</v>
      </c>
      <c r="C308" s="1" t="str">
        <f>'Raw Tickets'!$C$308</f>
        <v>A022</v>
      </c>
      <c r="D308" s="1" t="str">
        <f>'Raw Tickets'!$D$308</f>
        <v>Email</v>
      </c>
      <c r="E308" s="1" t="str">
        <f>'Raw Tickets'!$E$308</f>
        <v>Delivery Delay</v>
      </c>
      <c r="F308" s="1" t="str">
        <f>'Raw Tickets'!$F$308</f>
        <v>Low</v>
      </c>
      <c r="G308" s="1">
        <f>'Raw Tickets'!$G$308</f>
        <v>35.6</v>
      </c>
      <c r="H308" s="1">
        <f>'Raw Tickets'!$H$308</f>
        <v>39</v>
      </c>
      <c r="I308" s="1">
        <f>'Raw Tickets'!$I$308</f>
        <v>4</v>
      </c>
      <c r="J308" s="6">
        <f>'Raw Tickets'!$J$308</f>
        <v>82.4</v>
      </c>
      <c r="K308" s="1" t="str">
        <f>'Raw Tickets'!$K$308</f>
        <v>Closed</v>
      </c>
      <c r="L308" s="1" t="str">
        <f>'Raw Tickets'!$L$308</f>
        <v>No</v>
      </c>
      <c r="M308" s="1" t="str">
        <f>'Raw Tickets'!$M$308</f>
        <v>No</v>
      </c>
      <c r="N308" s="1" t="str">
        <f>IFERROR(VLOOKUP(C308,Agents!$A$2:$E$26,2,FALSE),"")</f>
        <v>Varun Sharma</v>
      </c>
      <c r="O308" s="1" t="str">
        <f>IFERROR(INDEX(Agents!$D$2:$D$26,MATCH(C308,Agents!$A$2:$A$26,0)),"")</f>
        <v>Seller Support</v>
      </c>
      <c r="P308" s="1" t="str">
        <f>IFERROR(VLOOKUP(C308,Agents!$A$2:$E$26,3,FALSE),"")</f>
        <v>Vivek Jain</v>
      </c>
      <c r="Q308" s="1" t="str">
        <f>IFERROR(VLOOKUP(C308,Agents!$A$2:$E$26,5,FALSE),"")</f>
        <v>Noida</v>
      </c>
      <c r="R308" s="1">
        <f>IFERROR(VLOOKUP(F308,#REF!,2,FALSE),0)</f>
        <v>0</v>
      </c>
      <c r="S308" s="1" t="str">
        <f t="shared" si="24"/>
        <v>Breached</v>
      </c>
      <c r="T308" s="1" t="str">
        <f t="shared" si="25"/>
        <v>Late</v>
      </c>
      <c r="U308" s="1" t="str">
        <f t="shared" si="26"/>
        <v>2025-08</v>
      </c>
      <c r="V308" s="1" t="str">
        <f t="shared" si="27"/>
        <v>Good</v>
      </c>
      <c r="W308" s="1" t="str">
        <f t="shared" si="28"/>
        <v>Needs Coaching</v>
      </c>
      <c r="X308" s="1" t="str">
        <f t="shared" si="29"/>
        <v>Unique</v>
      </c>
    </row>
    <row r="309" spans="1:24" ht="15" customHeight="1">
      <c r="A309" s="1" t="str">
        <f>'Raw Tickets'!$A$309</f>
        <v>T00308</v>
      </c>
      <c r="B309" s="4">
        <f>'Raw Tickets'!$B$309</f>
        <v>45801</v>
      </c>
      <c r="C309" s="1" t="str">
        <f>'Raw Tickets'!$C$309</f>
        <v>A024</v>
      </c>
      <c r="D309" s="1" t="str">
        <f>'Raw Tickets'!$D$309</f>
        <v>Chat</v>
      </c>
      <c r="E309" s="1" t="str">
        <f>'Raw Tickets'!$E$309</f>
        <v>Order Cancellation</v>
      </c>
      <c r="F309" s="1" t="str">
        <f>'Raw Tickets'!$F$309</f>
        <v>Low</v>
      </c>
      <c r="G309" s="1">
        <f>'Raw Tickets'!$G$309</f>
        <v>63.2</v>
      </c>
      <c r="H309" s="1">
        <f>'Raw Tickets'!$H$309</f>
        <v>52</v>
      </c>
      <c r="I309" s="1">
        <f>'Raw Tickets'!$I$309</f>
        <v>5</v>
      </c>
      <c r="J309" s="6">
        <f>'Raw Tickets'!$J$309</f>
        <v>87.6</v>
      </c>
      <c r="K309" s="1" t="str">
        <f>'Raw Tickets'!$K$309</f>
        <v>Closed</v>
      </c>
      <c r="L309" s="1" t="str">
        <f>'Raw Tickets'!$L$309</f>
        <v>Yes</v>
      </c>
      <c r="M309" s="1" t="str">
        <f>'Raw Tickets'!$M$309</f>
        <v>No</v>
      </c>
      <c r="N309" s="1" t="str">
        <f>IFERROR(VLOOKUP(C309,Agents!$A$2:$E$26,2,FALSE),"")</f>
        <v>Rohan Verma</v>
      </c>
      <c r="O309" s="1" t="str">
        <f>IFERROR(INDEX(Agents!$D$2:$D$26,MATCH(C309,Agents!$A$2:$A$26,0)),"")</f>
        <v>Seller Support</v>
      </c>
      <c r="P309" s="1" t="str">
        <f>IFERROR(VLOOKUP(C309,Agents!$A$2:$E$26,3,FALSE),"")</f>
        <v>Vivek Jain</v>
      </c>
      <c r="Q309" s="1" t="str">
        <f>IFERROR(VLOOKUP(C309,Agents!$A$2:$E$26,5,FALSE),"")</f>
        <v>Noida</v>
      </c>
      <c r="R309" s="1">
        <f>IFERROR(VLOOKUP(F309,#REF!,2,FALSE),0)</f>
        <v>0</v>
      </c>
      <c r="S309" s="1" t="str">
        <f t="shared" si="24"/>
        <v>Breached</v>
      </c>
      <c r="T309" s="1" t="str">
        <f t="shared" si="25"/>
        <v>Late</v>
      </c>
      <c r="U309" s="1" t="str">
        <f t="shared" si="26"/>
        <v>2025-05</v>
      </c>
      <c r="V309" s="1" t="str">
        <f t="shared" si="27"/>
        <v>Good</v>
      </c>
      <c r="W309" s="1" t="str">
        <f t="shared" si="28"/>
        <v>Pass</v>
      </c>
      <c r="X309" s="1" t="str">
        <f t="shared" si="29"/>
        <v>Unique</v>
      </c>
    </row>
    <row r="310" spans="1:24" ht="15" customHeight="1">
      <c r="A310" s="1" t="str">
        <f>'Raw Tickets'!$A$310</f>
        <v>T00309</v>
      </c>
      <c r="B310" s="4">
        <f>'Raw Tickets'!$B$310</f>
        <v>45882</v>
      </c>
      <c r="C310" s="1" t="str">
        <f>'Raw Tickets'!$C$310</f>
        <v>A009</v>
      </c>
      <c r="D310" s="1" t="str">
        <f>'Raw Tickets'!$D$310</f>
        <v>Call</v>
      </c>
      <c r="E310" s="1" t="str">
        <f>'Raw Tickets'!$E$310</f>
        <v>Payment Failure</v>
      </c>
      <c r="F310" s="1" t="str">
        <f>'Raw Tickets'!$F$310</f>
        <v>Low</v>
      </c>
      <c r="G310" s="1">
        <f>'Raw Tickets'!$G$310</f>
        <v>39.9</v>
      </c>
      <c r="H310" s="1">
        <f>'Raw Tickets'!$H$310</f>
        <v>21</v>
      </c>
      <c r="I310" s="1">
        <f>'Raw Tickets'!$I$310</f>
        <v>4</v>
      </c>
      <c r="J310" s="6">
        <f>'Raw Tickets'!$J$310</f>
        <v>80.099999999999994</v>
      </c>
      <c r="K310" s="1" t="str">
        <f>'Raw Tickets'!$K$310</f>
        <v>Closed</v>
      </c>
      <c r="L310" s="1" t="str">
        <f>'Raw Tickets'!$L$310</f>
        <v>Yes</v>
      </c>
      <c r="M310" s="1" t="str">
        <f>'Raw Tickets'!$M$310</f>
        <v>No</v>
      </c>
      <c r="N310" s="1" t="str">
        <f>IFERROR(VLOOKUP(C310,Agents!$A$2:$E$26,2,FALSE),"")</f>
        <v>Divya Mehta</v>
      </c>
      <c r="O310" s="1" t="str">
        <f>IFERROR(INDEX(Agents!$D$2:$D$26,MATCH(C310,Agents!$A$2:$A$26,0)),"")</f>
        <v>Voice Support</v>
      </c>
      <c r="P310" s="1" t="str">
        <f>IFERROR(VLOOKUP(C310,Agents!$A$2:$E$26,3,FALSE),"")</f>
        <v>Kritika Shah</v>
      </c>
      <c r="Q310" s="1" t="str">
        <f>IFERROR(VLOOKUP(C310,Agents!$A$2:$E$26,5,FALSE),"")</f>
        <v>Gurugram</v>
      </c>
      <c r="R310" s="1">
        <f>IFERROR(VLOOKUP(F310,#REF!,2,FALSE),0)</f>
        <v>0</v>
      </c>
      <c r="S310" s="1" t="str">
        <f t="shared" si="24"/>
        <v>Breached</v>
      </c>
      <c r="T310" s="1" t="str">
        <f t="shared" si="25"/>
        <v>Within Target</v>
      </c>
      <c r="U310" s="1" t="str">
        <f t="shared" si="26"/>
        <v>2025-08</v>
      </c>
      <c r="V310" s="1" t="str">
        <f t="shared" si="27"/>
        <v>Good</v>
      </c>
      <c r="W310" s="1" t="str">
        <f t="shared" si="28"/>
        <v>Needs Coaching</v>
      </c>
      <c r="X310" s="1" t="str">
        <f t="shared" si="29"/>
        <v>Unique</v>
      </c>
    </row>
    <row r="311" spans="1:24" ht="15" customHeight="1">
      <c r="A311" s="1" t="str">
        <f>'Raw Tickets'!$A$311</f>
        <v>T00310</v>
      </c>
      <c r="B311" s="4">
        <f>'Raw Tickets'!$B$311</f>
        <v>45969</v>
      </c>
      <c r="C311" s="1" t="str">
        <f>'Raw Tickets'!$C$311</f>
        <v>A015</v>
      </c>
      <c r="D311" s="1" t="str">
        <f>'Raw Tickets'!$D$311</f>
        <v>Chat</v>
      </c>
      <c r="E311" s="1" t="str">
        <f>'Raw Tickets'!$E$311</f>
        <v>Order Cancellation</v>
      </c>
      <c r="F311" s="1" t="str">
        <f>'Raw Tickets'!$F$311</f>
        <v>High</v>
      </c>
      <c r="G311" s="1">
        <f>'Raw Tickets'!$G$311</f>
        <v>0.5</v>
      </c>
      <c r="H311" s="1">
        <f>'Raw Tickets'!$H$311</f>
        <v>9</v>
      </c>
      <c r="I311" s="1">
        <f>'Raw Tickets'!$I$311</f>
        <v>4</v>
      </c>
      <c r="J311" s="6">
        <f>'Raw Tickets'!$J$311</f>
        <v>78.2</v>
      </c>
      <c r="K311" s="1" t="str">
        <f>'Raw Tickets'!$K$311</f>
        <v>Closed</v>
      </c>
      <c r="L311" s="1" t="str">
        <f>'Raw Tickets'!$L$311</f>
        <v>No</v>
      </c>
      <c r="M311" s="1" t="str">
        <f>'Raw Tickets'!$M$311</f>
        <v>No</v>
      </c>
      <c r="N311" s="1" t="str">
        <f>IFERROR(VLOOKUP(C311,Agents!$A$2:$E$26,2,FALSE),"")</f>
        <v>Neha Jain</v>
      </c>
      <c r="O311" s="1" t="str">
        <f>IFERROR(INDEX(Agents!$D$2:$D$26,MATCH(C311,Agents!$A$2:$A$26,0)),"")</f>
        <v>Chat Support</v>
      </c>
      <c r="P311" s="1" t="str">
        <f>IFERROR(VLOOKUP(C311,Agents!$A$2:$E$26,3,FALSE),"")</f>
        <v>Nitin Gupta</v>
      </c>
      <c r="Q311" s="1" t="str">
        <f>IFERROR(VLOOKUP(C311,Agents!$A$2:$E$26,5,FALSE),"")</f>
        <v>Bengaluru</v>
      </c>
      <c r="R311" s="1">
        <f>IFERROR(VLOOKUP(F311,#REF!,2,FALSE),0)</f>
        <v>0</v>
      </c>
      <c r="S311" s="1" t="str">
        <f t="shared" si="24"/>
        <v>Breached</v>
      </c>
      <c r="T311" s="1" t="str">
        <f t="shared" si="25"/>
        <v>Within Target</v>
      </c>
      <c r="U311" s="1" t="str">
        <f t="shared" si="26"/>
        <v>2025-11</v>
      </c>
      <c r="V311" s="1" t="str">
        <f t="shared" si="27"/>
        <v>Good</v>
      </c>
      <c r="W311" s="1" t="str">
        <f t="shared" si="28"/>
        <v>Needs Coaching</v>
      </c>
      <c r="X311" s="1" t="str">
        <f t="shared" si="29"/>
        <v>Unique</v>
      </c>
    </row>
    <row r="312" spans="1:24" ht="15" customHeight="1">
      <c r="A312" s="1" t="str">
        <f>'Raw Tickets'!$A$312</f>
        <v>T00311</v>
      </c>
      <c r="B312" s="4">
        <f>'Raw Tickets'!$B$312</f>
        <v>45762</v>
      </c>
      <c r="C312" s="1" t="str">
        <f>'Raw Tickets'!$C$312</f>
        <v>A001</v>
      </c>
      <c r="D312" s="1" t="str">
        <f>'Raw Tickets'!$D$312</f>
        <v>Email</v>
      </c>
      <c r="E312" s="1" t="str">
        <f>'Raw Tickets'!$E$312</f>
        <v>Delivery Delay</v>
      </c>
      <c r="F312" s="1" t="str">
        <f>'Raw Tickets'!$F$312</f>
        <v>Critical</v>
      </c>
      <c r="G312" s="1">
        <f>'Raw Tickets'!$G$312</f>
        <v>2.2999999999999998</v>
      </c>
      <c r="H312" s="1">
        <f>'Raw Tickets'!$H$312</f>
        <v>36</v>
      </c>
      <c r="I312" s="1">
        <f>'Raw Tickets'!$I$312</f>
        <v>3</v>
      </c>
      <c r="J312" s="6">
        <f>'Raw Tickets'!$J$312</f>
        <v>85</v>
      </c>
      <c r="K312" s="1" t="str">
        <f>'Raw Tickets'!$K$312</f>
        <v>Closed</v>
      </c>
      <c r="L312" s="1" t="str">
        <f>'Raw Tickets'!$L$312</f>
        <v>No</v>
      </c>
      <c r="M312" s="1" t="str">
        <f>'Raw Tickets'!$M$312</f>
        <v>Yes</v>
      </c>
      <c r="N312" s="1" t="str">
        <f>IFERROR(VLOOKUP(C312,Agents!$A$2:$E$26,2,FALSE),"")</f>
        <v>Ishita Patel</v>
      </c>
      <c r="O312" s="1" t="str">
        <f>IFERROR(INDEX(Agents!$D$2:$D$26,MATCH(C312,Agents!$A$2:$A$26,0)),"")</f>
        <v>Email Support</v>
      </c>
      <c r="P312" s="1" t="str">
        <f>IFERROR(VLOOKUP(C312,Agents!$A$2:$E$26,3,FALSE),"")</f>
        <v>Aman Verma</v>
      </c>
      <c r="Q312" s="1" t="str">
        <f>IFERROR(VLOOKUP(C312,Agents!$A$2:$E$26,5,FALSE),"")</f>
        <v>Gurugram</v>
      </c>
      <c r="R312" s="1">
        <f>IFERROR(VLOOKUP(F312,#REF!,2,FALSE),0)</f>
        <v>0</v>
      </c>
      <c r="S312" s="1" t="str">
        <f t="shared" si="24"/>
        <v>Breached</v>
      </c>
      <c r="T312" s="1" t="str">
        <f t="shared" si="25"/>
        <v>Late</v>
      </c>
      <c r="U312" s="1" t="str">
        <f t="shared" si="26"/>
        <v>2025-04</v>
      </c>
      <c r="V312" s="1" t="str">
        <f t="shared" si="27"/>
        <v>Average</v>
      </c>
      <c r="W312" s="1" t="str">
        <f t="shared" si="28"/>
        <v>Pass</v>
      </c>
      <c r="X312" s="1" t="str">
        <f t="shared" si="29"/>
        <v>Unique</v>
      </c>
    </row>
    <row r="313" spans="1:24" ht="15" customHeight="1">
      <c r="A313" s="1" t="str">
        <f>'Raw Tickets'!$A$313</f>
        <v>T00312</v>
      </c>
      <c r="B313" s="4">
        <f>'Raw Tickets'!$B$313</f>
        <v>45696</v>
      </c>
      <c r="C313" s="1" t="str">
        <f>'Raw Tickets'!$C$313</f>
        <v>A013</v>
      </c>
      <c r="D313" s="1" t="str">
        <f>'Raw Tickets'!$D$313</f>
        <v>Email</v>
      </c>
      <c r="E313" s="1" t="str">
        <f>'Raw Tickets'!$E$313</f>
        <v>Payment Failure</v>
      </c>
      <c r="F313" s="1" t="str">
        <f>'Raw Tickets'!$F$313</f>
        <v>Medium</v>
      </c>
      <c r="G313" s="1">
        <f>'Raw Tickets'!$G$313</f>
        <v>8.3000000000000007</v>
      </c>
      <c r="H313" s="1">
        <f>'Raw Tickets'!$H$313</f>
        <v>51</v>
      </c>
      <c r="I313" s="1">
        <f>'Raw Tickets'!$I$313</f>
        <v>5</v>
      </c>
      <c r="J313" s="6">
        <f>'Raw Tickets'!$J$313</f>
        <v>88.4</v>
      </c>
      <c r="K313" s="1" t="str">
        <f>'Raw Tickets'!$K$313</f>
        <v>Closed</v>
      </c>
      <c r="L313" s="1" t="str">
        <f>'Raw Tickets'!$L$313</f>
        <v>Yes</v>
      </c>
      <c r="M313" s="1" t="str">
        <f>'Raw Tickets'!$M$313</f>
        <v>No</v>
      </c>
      <c r="N313" s="1" t="str">
        <f>IFERROR(VLOOKUP(C313,Agents!$A$2:$E$26,2,FALSE),"")</f>
        <v>Ananya Jain</v>
      </c>
      <c r="O313" s="1" t="str">
        <f>IFERROR(INDEX(Agents!$D$2:$D$26,MATCH(C313,Agents!$A$2:$A$26,0)),"")</f>
        <v>Chat Support</v>
      </c>
      <c r="P313" s="1" t="str">
        <f>IFERROR(VLOOKUP(C313,Agents!$A$2:$E$26,3,FALSE),"")</f>
        <v>Nitin Gupta</v>
      </c>
      <c r="Q313" s="1" t="str">
        <f>IFERROR(VLOOKUP(C313,Agents!$A$2:$E$26,5,FALSE),"")</f>
        <v>Hyderabad</v>
      </c>
      <c r="R313" s="1">
        <f>IFERROR(VLOOKUP(F313,#REF!,2,FALSE),0)</f>
        <v>0</v>
      </c>
      <c r="S313" s="1" t="str">
        <f t="shared" si="24"/>
        <v>Breached</v>
      </c>
      <c r="T313" s="1" t="str">
        <f t="shared" si="25"/>
        <v>Late</v>
      </c>
      <c r="U313" s="1" t="str">
        <f t="shared" si="26"/>
        <v>2025-02</v>
      </c>
      <c r="V313" s="1" t="str">
        <f t="shared" si="27"/>
        <v>Good</v>
      </c>
      <c r="W313" s="1" t="str">
        <f t="shared" si="28"/>
        <v>Pass</v>
      </c>
      <c r="X313" s="1" t="str">
        <f t="shared" si="29"/>
        <v>Unique</v>
      </c>
    </row>
    <row r="314" spans="1:24" ht="15" customHeight="1">
      <c r="A314" s="1" t="str">
        <f>'Raw Tickets'!$A$314</f>
        <v>T00313</v>
      </c>
      <c r="B314" s="4">
        <f>'Raw Tickets'!$B$314</f>
        <v>45774</v>
      </c>
      <c r="C314" s="1" t="str">
        <f>'Raw Tickets'!$C$314</f>
        <v>A024</v>
      </c>
      <c r="D314" s="1" t="str">
        <f>'Raw Tickets'!$D$314</f>
        <v>Chat</v>
      </c>
      <c r="E314" s="1" t="str">
        <f>'Raw Tickets'!$E$314</f>
        <v>Delivery Delay</v>
      </c>
      <c r="F314" s="1" t="str">
        <f>'Raw Tickets'!$F$314</f>
        <v>Medium</v>
      </c>
      <c r="G314" s="1">
        <f>'Raw Tickets'!$G$314</f>
        <v>32.5</v>
      </c>
      <c r="H314" s="1">
        <f>'Raw Tickets'!$H$314</f>
        <v>7</v>
      </c>
      <c r="I314" s="1">
        <f>'Raw Tickets'!$I$314</f>
        <v>3</v>
      </c>
      <c r="J314" s="6">
        <f>'Raw Tickets'!$J$314</f>
        <v>83.2</v>
      </c>
      <c r="K314" s="1" t="str">
        <f>'Raw Tickets'!$K$314</f>
        <v>Closed</v>
      </c>
      <c r="L314" s="1" t="str">
        <f>'Raw Tickets'!$L$314</f>
        <v>Yes</v>
      </c>
      <c r="M314" s="1" t="str">
        <f>'Raw Tickets'!$M$314</f>
        <v>No</v>
      </c>
      <c r="N314" s="1" t="str">
        <f>IFERROR(VLOOKUP(C314,Agents!$A$2:$E$26,2,FALSE),"")</f>
        <v>Rohan Verma</v>
      </c>
      <c r="O314" s="1" t="str">
        <f>IFERROR(INDEX(Agents!$D$2:$D$26,MATCH(C314,Agents!$A$2:$A$26,0)),"")</f>
        <v>Seller Support</v>
      </c>
      <c r="P314" s="1" t="str">
        <f>IFERROR(VLOOKUP(C314,Agents!$A$2:$E$26,3,FALSE),"")</f>
        <v>Vivek Jain</v>
      </c>
      <c r="Q314" s="1" t="str">
        <f>IFERROR(VLOOKUP(C314,Agents!$A$2:$E$26,5,FALSE),"")</f>
        <v>Noida</v>
      </c>
      <c r="R314" s="1">
        <f>IFERROR(VLOOKUP(F314,#REF!,2,FALSE),0)</f>
        <v>0</v>
      </c>
      <c r="S314" s="1" t="str">
        <f t="shared" si="24"/>
        <v>Breached</v>
      </c>
      <c r="T314" s="1" t="str">
        <f t="shared" si="25"/>
        <v>Within Target</v>
      </c>
      <c r="U314" s="1" t="str">
        <f t="shared" si="26"/>
        <v>2025-04</v>
      </c>
      <c r="V314" s="1" t="str">
        <f t="shared" si="27"/>
        <v>Average</v>
      </c>
      <c r="W314" s="1" t="str">
        <f t="shared" si="28"/>
        <v>Needs Coaching</v>
      </c>
      <c r="X314" s="1" t="str">
        <f t="shared" si="29"/>
        <v>Unique</v>
      </c>
    </row>
    <row r="315" spans="1:24" ht="15" customHeight="1">
      <c r="A315" s="1" t="str">
        <f>'Raw Tickets'!$A$315</f>
        <v>T00314</v>
      </c>
      <c r="B315" s="4">
        <f>'Raw Tickets'!$B$315</f>
        <v>45919</v>
      </c>
      <c r="C315" s="1" t="str">
        <f>'Raw Tickets'!$C$315</f>
        <v>A024</v>
      </c>
      <c r="D315" s="1" t="str">
        <f>'Raw Tickets'!$D$315</f>
        <v>Email</v>
      </c>
      <c r="E315" s="1" t="str">
        <f>'Raw Tickets'!$E$315</f>
        <v>Delivery Delay</v>
      </c>
      <c r="F315" s="1" t="str">
        <f>'Raw Tickets'!$F$315</f>
        <v>Low</v>
      </c>
      <c r="G315" s="1">
        <f>'Raw Tickets'!$G$315</f>
        <v>49.9</v>
      </c>
      <c r="H315" s="1">
        <f>'Raw Tickets'!$H$315</f>
        <v>39</v>
      </c>
      <c r="I315" s="1">
        <f>'Raw Tickets'!$I$315</f>
        <v>3</v>
      </c>
      <c r="J315" s="6">
        <f>'Raw Tickets'!$J$315</f>
        <v>92.1</v>
      </c>
      <c r="K315" s="1" t="str">
        <f>'Raw Tickets'!$K$315</f>
        <v>Closed</v>
      </c>
      <c r="L315" s="1" t="str">
        <f>'Raw Tickets'!$L$315</f>
        <v>No</v>
      </c>
      <c r="M315" s="1" t="str">
        <f>'Raw Tickets'!$M$315</f>
        <v>No</v>
      </c>
      <c r="N315" s="1" t="str">
        <f>IFERROR(VLOOKUP(C315,Agents!$A$2:$E$26,2,FALSE),"")</f>
        <v>Rohan Verma</v>
      </c>
      <c r="O315" s="1" t="str">
        <f>IFERROR(INDEX(Agents!$D$2:$D$26,MATCH(C315,Agents!$A$2:$A$26,0)),"")</f>
        <v>Seller Support</v>
      </c>
      <c r="P315" s="1" t="str">
        <f>IFERROR(VLOOKUP(C315,Agents!$A$2:$E$26,3,FALSE),"")</f>
        <v>Vivek Jain</v>
      </c>
      <c r="Q315" s="1" t="str">
        <f>IFERROR(VLOOKUP(C315,Agents!$A$2:$E$26,5,FALSE),"")</f>
        <v>Noida</v>
      </c>
      <c r="R315" s="1">
        <f>IFERROR(VLOOKUP(F315,#REF!,2,FALSE),0)</f>
        <v>0</v>
      </c>
      <c r="S315" s="1" t="str">
        <f t="shared" si="24"/>
        <v>Breached</v>
      </c>
      <c r="T315" s="1" t="str">
        <f t="shared" si="25"/>
        <v>Late</v>
      </c>
      <c r="U315" s="1" t="str">
        <f t="shared" si="26"/>
        <v>2025-09</v>
      </c>
      <c r="V315" s="1" t="str">
        <f t="shared" si="27"/>
        <v>Average</v>
      </c>
      <c r="W315" s="1" t="str">
        <f t="shared" si="28"/>
        <v>Pass</v>
      </c>
      <c r="X315" s="1" t="str">
        <f t="shared" si="29"/>
        <v>Unique</v>
      </c>
    </row>
    <row r="316" spans="1:24" ht="15" customHeight="1">
      <c r="A316" s="1" t="str">
        <f>'Raw Tickets'!$A$316</f>
        <v>T00315</v>
      </c>
      <c r="B316" s="4">
        <f>'Raw Tickets'!$B$316</f>
        <v>45741</v>
      </c>
      <c r="C316" s="1" t="str">
        <f>'Raw Tickets'!$C$316</f>
        <v>A020</v>
      </c>
      <c r="D316" s="1" t="str">
        <f>'Raw Tickets'!$D$316</f>
        <v>Chat</v>
      </c>
      <c r="E316" s="1" t="str">
        <f>'Raw Tickets'!$E$316</f>
        <v>Account Issue</v>
      </c>
      <c r="F316" s="1" t="str">
        <f>'Raw Tickets'!$F$316</f>
        <v>High</v>
      </c>
      <c r="G316" s="1">
        <f>'Raw Tickets'!$G$316</f>
        <v>3.6</v>
      </c>
      <c r="H316" s="1">
        <f>'Raw Tickets'!$H$316</f>
        <v>35</v>
      </c>
      <c r="I316" s="1">
        <f>'Raw Tickets'!$I$316</f>
        <v>3</v>
      </c>
      <c r="J316" s="6">
        <f>'Raw Tickets'!$J$316</f>
        <v>95.3</v>
      </c>
      <c r="K316" s="1" t="str">
        <f>'Raw Tickets'!$K$316</f>
        <v>Closed</v>
      </c>
      <c r="L316" s="1" t="str">
        <f>'Raw Tickets'!$L$316</f>
        <v>No</v>
      </c>
      <c r="M316" s="1" t="str">
        <f>'Raw Tickets'!$M$316</f>
        <v>Yes</v>
      </c>
      <c r="N316" s="1" t="str">
        <f>IFERROR(VLOOKUP(C316,Agents!$A$2:$E$26,2,FALSE),"")</f>
        <v>Aditi Bansal</v>
      </c>
      <c r="O316" s="1" t="str">
        <f>IFERROR(INDEX(Agents!$D$2:$D$26,MATCH(C316,Agents!$A$2:$A$26,0)),"")</f>
        <v>Escalations</v>
      </c>
      <c r="P316" s="1" t="str">
        <f>IFERROR(VLOOKUP(C316,Agents!$A$2:$E$26,3,FALSE),"")</f>
        <v>Pallavi Rao</v>
      </c>
      <c r="Q316" s="1" t="str">
        <f>IFERROR(VLOOKUP(C316,Agents!$A$2:$E$26,5,FALSE),"")</f>
        <v>Noida</v>
      </c>
      <c r="R316" s="1">
        <f>IFERROR(VLOOKUP(F316,#REF!,2,FALSE),0)</f>
        <v>0</v>
      </c>
      <c r="S316" s="1" t="str">
        <f t="shared" si="24"/>
        <v>Breached</v>
      </c>
      <c r="T316" s="1" t="str">
        <f t="shared" si="25"/>
        <v>Late</v>
      </c>
      <c r="U316" s="1" t="str">
        <f t="shared" si="26"/>
        <v>2025-03</v>
      </c>
      <c r="V316" s="1" t="str">
        <f t="shared" si="27"/>
        <v>Average</v>
      </c>
      <c r="W316" s="1" t="str">
        <f t="shared" si="28"/>
        <v>Pass</v>
      </c>
      <c r="X316" s="1" t="str">
        <f t="shared" si="29"/>
        <v>Unique</v>
      </c>
    </row>
    <row r="317" spans="1:24" ht="15" customHeight="1">
      <c r="A317" s="1" t="str">
        <f>'Raw Tickets'!$A$317</f>
        <v>T00316</v>
      </c>
      <c r="B317" s="4">
        <f>'Raw Tickets'!$B$317</f>
        <v>45710</v>
      </c>
      <c r="C317" s="1" t="str">
        <f>'Raw Tickets'!$C$317</f>
        <v>A021</v>
      </c>
      <c r="D317" s="1" t="str">
        <f>'Raw Tickets'!$D$317</f>
        <v>Email</v>
      </c>
      <c r="E317" s="1" t="str">
        <f>'Raw Tickets'!$E$317</f>
        <v>Account Issue</v>
      </c>
      <c r="F317" s="1" t="str">
        <f>'Raw Tickets'!$F$317</f>
        <v>Low</v>
      </c>
      <c r="G317" s="1">
        <f>'Raw Tickets'!$G$317</f>
        <v>37.9</v>
      </c>
      <c r="H317" s="1">
        <f>'Raw Tickets'!$H$317</f>
        <v>36</v>
      </c>
      <c r="I317" s="1">
        <f>'Raw Tickets'!$I$317</f>
        <v>3</v>
      </c>
      <c r="J317" s="6">
        <f>'Raw Tickets'!$J$317</f>
        <v>77.7</v>
      </c>
      <c r="K317" s="1" t="str">
        <f>'Raw Tickets'!$K$317</f>
        <v>Closed</v>
      </c>
      <c r="L317" s="1" t="str">
        <f>'Raw Tickets'!$L$317</f>
        <v>No</v>
      </c>
      <c r="M317" s="1" t="str">
        <f>'Raw Tickets'!$M$317</f>
        <v>No</v>
      </c>
      <c r="N317" s="1" t="str">
        <f>IFERROR(VLOOKUP(C317,Agents!$A$2:$E$26,2,FALSE),"")</f>
        <v>Nikhil Bansal</v>
      </c>
      <c r="O317" s="1" t="str">
        <f>IFERROR(INDEX(Agents!$D$2:$D$26,MATCH(C317,Agents!$A$2:$A$26,0)),"")</f>
        <v>Seller Support</v>
      </c>
      <c r="P317" s="1" t="str">
        <f>IFERROR(VLOOKUP(C317,Agents!$A$2:$E$26,3,FALSE),"")</f>
        <v>Vivek Jain</v>
      </c>
      <c r="Q317" s="1" t="str">
        <f>IFERROR(VLOOKUP(C317,Agents!$A$2:$E$26,5,FALSE),"")</f>
        <v>Bengaluru</v>
      </c>
      <c r="R317" s="1">
        <f>IFERROR(VLOOKUP(F317,#REF!,2,FALSE),0)</f>
        <v>0</v>
      </c>
      <c r="S317" s="1" t="str">
        <f t="shared" si="24"/>
        <v>Breached</v>
      </c>
      <c r="T317" s="1" t="str">
        <f t="shared" si="25"/>
        <v>Late</v>
      </c>
      <c r="U317" s="1" t="str">
        <f t="shared" si="26"/>
        <v>2025-02</v>
      </c>
      <c r="V317" s="1" t="str">
        <f t="shared" si="27"/>
        <v>Average</v>
      </c>
      <c r="W317" s="1" t="str">
        <f t="shared" si="28"/>
        <v>Needs Coaching</v>
      </c>
      <c r="X317" s="1" t="str">
        <f t="shared" si="29"/>
        <v>Unique</v>
      </c>
    </row>
    <row r="318" spans="1:24" ht="15" customHeight="1">
      <c r="A318" s="1" t="str">
        <f>'Raw Tickets'!$A$318</f>
        <v>T00317</v>
      </c>
      <c r="B318" s="4">
        <f>'Raw Tickets'!$B$318</f>
        <v>46001</v>
      </c>
      <c r="C318" s="1" t="str">
        <f>'Raw Tickets'!$C$318</f>
        <v>A011</v>
      </c>
      <c r="D318" s="1" t="str">
        <f>'Raw Tickets'!$D$318</f>
        <v>Chat</v>
      </c>
      <c r="E318" s="1" t="str">
        <f>'Raw Tickets'!$E$318</f>
        <v>Order Cancellation</v>
      </c>
      <c r="F318" s="1" t="str">
        <f>'Raw Tickets'!$F$318</f>
        <v>Low</v>
      </c>
      <c r="G318" s="1">
        <f>'Raw Tickets'!$G$318</f>
        <v>29.5</v>
      </c>
      <c r="H318" s="1">
        <f>'Raw Tickets'!$H$318</f>
        <v>48</v>
      </c>
      <c r="I318" s="1">
        <f>'Raw Tickets'!$I$318</f>
        <v>4</v>
      </c>
      <c r="J318" s="6">
        <f>'Raw Tickets'!$J$318</f>
        <v>87.2</v>
      </c>
      <c r="K318" s="1" t="str">
        <f>'Raw Tickets'!$K$318</f>
        <v>Closed</v>
      </c>
      <c r="L318" s="1" t="str">
        <f>'Raw Tickets'!$L$318</f>
        <v>No</v>
      </c>
      <c r="M318" s="1" t="str">
        <f>'Raw Tickets'!$M$318</f>
        <v>No</v>
      </c>
      <c r="N318" s="1" t="str">
        <f>IFERROR(VLOOKUP(C318,Agents!$A$2:$E$26,2,FALSE),"")</f>
        <v>Shreya Singh</v>
      </c>
      <c r="O318" s="1" t="str">
        <f>IFERROR(INDEX(Agents!$D$2:$D$26,MATCH(C318,Agents!$A$2:$A$26,0)),"")</f>
        <v>Chat Support</v>
      </c>
      <c r="P318" s="1" t="str">
        <f>IFERROR(VLOOKUP(C318,Agents!$A$2:$E$26,3,FALSE),"")</f>
        <v>Nitin Gupta</v>
      </c>
      <c r="Q318" s="1" t="str">
        <f>IFERROR(VLOOKUP(C318,Agents!$A$2:$E$26,5,FALSE),"")</f>
        <v>Noida</v>
      </c>
      <c r="R318" s="1">
        <f>IFERROR(VLOOKUP(F318,#REF!,2,FALSE),0)</f>
        <v>0</v>
      </c>
      <c r="S318" s="1" t="str">
        <f t="shared" si="24"/>
        <v>Breached</v>
      </c>
      <c r="T318" s="1" t="str">
        <f t="shared" si="25"/>
        <v>Late</v>
      </c>
      <c r="U318" s="1" t="str">
        <f t="shared" si="26"/>
        <v>2025-12</v>
      </c>
      <c r="V318" s="1" t="str">
        <f t="shared" si="27"/>
        <v>Good</v>
      </c>
      <c r="W318" s="1" t="str">
        <f t="shared" si="28"/>
        <v>Pass</v>
      </c>
      <c r="X318" s="1" t="str">
        <f t="shared" si="29"/>
        <v>Unique</v>
      </c>
    </row>
    <row r="319" spans="1:24" ht="15" customHeight="1">
      <c r="A319" s="1" t="str">
        <f>'Raw Tickets'!$A$319</f>
        <v>T00318</v>
      </c>
      <c r="B319" s="4">
        <f>'Raw Tickets'!$B$319</f>
        <v>45726</v>
      </c>
      <c r="C319" s="1" t="str">
        <f>'Raw Tickets'!$C$319</f>
        <v>A016</v>
      </c>
      <c r="D319" s="1" t="str">
        <f>'Raw Tickets'!$D$319</f>
        <v>Email</v>
      </c>
      <c r="E319" s="1" t="str">
        <f>'Raw Tickets'!$E$319</f>
        <v>Product Quality</v>
      </c>
      <c r="F319" s="1" t="str">
        <f>'Raw Tickets'!$F$319</f>
        <v>Low</v>
      </c>
      <c r="G319" s="1">
        <f>'Raw Tickets'!$G$319</f>
        <v>11.3</v>
      </c>
      <c r="H319" s="1">
        <f>'Raw Tickets'!$H$319</f>
        <v>15</v>
      </c>
      <c r="I319" s="1">
        <f>'Raw Tickets'!$I$319</f>
        <v>4</v>
      </c>
      <c r="J319" s="6">
        <f>'Raw Tickets'!$J$319</f>
        <v>80.900000000000006</v>
      </c>
      <c r="K319" s="1" t="str">
        <f>'Raw Tickets'!$K$319</f>
        <v>Closed</v>
      </c>
      <c r="L319" s="1" t="str">
        <f>'Raw Tickets'!$L$319</f>
        <v>No</v>
      </c>
      <c r="M319" s="1" t="str">
        <f>'Raw Tickets'!$M$319</f>
        <v>No</v>
      </c>
      <c r="N319" s="1" t="str">
        <f>IFERROR(VLOOKUP(C319,Agents!$A$2:$E$26,2,FALSE),"")</f>
        <v>Pooja Bansal</v>
      </c>
      <c r="O319" s="1" t="str">
        <f>IFERROR(INDEX(Agents!$D$2:$D$26,MATCH(C319,Agents!$A$2:$A$26,0)),"")</f>
        <v>Escalations</v>
      </c>
      <c r="P319" s="1" t="str">
        <f>IFERROR(VLOOKUP(C319,Agents!$A$2:$E$26,3,FALSE),"")</f>
        <v>Pallavi Rao</v>
      </c>
      <c r="Q319" s="1" t="str">
        <f>IFERROR(VLOOKUP(C319,Agents!$A$2:$E$26,5,FALSE),"")</f>
        <v>Hyderabad</v>
      </c>
      <c r="R319" s="1">
        <f>IFERROR(VLOOKUP(F319,#REF!,2,FALSE),0)</f>
        <v>0</v>
      </c>
      <c r="S319" s="1" t="str">
        <f t="shared" si="24"/>
        <v>Breached</v>
      </c>
      <c r="T319" s="1" t="str">
        <f t="shared" si="25"/>
        <v>Within Target</v>
      </c>
      <c r="U319" s="1" t="str">
        <f t="shared" si="26"/>
        <v>2025-03</v>
      </c>
      <c r="V319" s="1" t="str">
        <f t="shared" si="27"/>
        <v>Good</v>
      </c>
      <c r="W319" s="1" t="str">
        <f t="shared" si="28"/>
        <v>Needs Coaching</v>
      </c>
      <c r="X319" s="1" t="str">
        <f t="shared" si="29"/>
        <v>Unique</v>
      </c>
    </row>
    <row r="320" spans="1:24" ht="15" customHeight="1">
      <c r="A320" s="1" t="str">
        <f>'Raw Tickets'!$A$320</f>
        <v>T00319</v>
      </c>
      <c r="B320" s="4">
        <f>'Raw Tickets'!$B$320</f>
        <v>45902</v>
      </c>
      <c r="C320" s="1" t="str">
        <f>'Raw Tickets'!$C$320</f>
        <v>A013</v>
      </c>
      <c r="D320" s="1" t="str">
        <f>'Raw Tickets'!$D$320</f>
        <v>Call</v>
      </c>
      <c r="E320" s="1" t="str">
        <f>'Raw Tickets'!$E$320</f>
        <v>Order Cancellation</v>
      </c>
      <c r="F320" s="1" t="str">
        <f>'Raw Tickets'!$F$320</f>
        <v>Medium</v>
      </c>
      <c r="G320" s="1">
        <f>'Raw Tickets'!$G$320</f>
        <v>19.5</v>
      </c>
      <c r="H320" s="1">
        <f>'Raw Tickets'!$H$320</f>
        <v>70</v>
      </c>
      <c r="I320" s="1">
        <f>'Raw Tickets'!$I$320</f>
        <v>4</v>
      </c>
      <c r="J320" s="6">
        <f>'Raw Tickets'!$J$320</f>
        <v>87.6</v>
      </c>
      <c r="K320" s="1" t="str">
        <f>'Raw Tickets'!$K$320</f>
        <v>Closed</v>
      </c>
      <c r="L320" s="1" t="str">
        <f>'Raw Tickets'!$L$320</f>
        <v>No</v>
      </c>
      <c r="M320" s="1" t="str">
        <f>'Raw Tickets'!$M$320</f>
        <v>No</v>
      </c>
      <c r="N320" s="1" t="str">
        <f>IFERROR(VLOOKUP(C320,Agents!$A$2:$E$26,2,FALSE),"")</f>
        <v>Ananya Jain</v>
      </c>
      <c r="O320" s="1" t="str">
        <f>IFERROR(INDEX(Agents!$D$2:$D$26,MATCH(C320,Agents!$A$2:$A$26,0)),"")</f>
        <v>Chat Support</v>
      </c>
      <c r="P320" s="1" t="str">
        <f>IFERROR(VLOOKUP(C320,Agents!$A$2:$E$26,3,FALSE),"")</f>
        <v>Nitin Gupta</v>
      </c>
      <c r="Q320" s="1" t="str">
        <f>IFERROR(VLOOKUP(C320,Agents!$A$2:$E$26,5,FALSE),"")</f>
        <v>Hyderabad</v>
      </c>
      <c r="R320" s="1">
        <f>IFERROR(VLOOKUP(F320,#REF!,2,FALSE),0)</f>
        <v>0</v>
      </c>
      <c r="S320" s="1" t="str">
        <f t="shared" si="24"/>
        <v>Breached</v>
      </c>
      <c r="T320" s="1" t="str">
        <f t="shared" si="25"/>
        <v>Late</v>
      </c>
      <c r="U320" s="1" t="str">
        <f t="shared" si="26"/>
        <v>2025-09</v>
      </c>
      <c r="V320" s="1" t="str">
        <f t="shared" si="27"/>
        <v>Good</v>
      </c>
      <c r="W320" s="1" t="str">
        <f t="shared" si="28"/>
        <v>Pass</v>
      </c>
      <c r="X320" s="1" t="str">
        <f t="shared" si="29"/>
        <v>Unique</v>
      </c>
    </row>
    <row r="321" spans="1:24" ht="15" customHeight="1">
      <c r="A321" s="1" t="str">
        <f>'Raw Tickets'!$A$321</f>
        <v>T00320</v>
      </c>
      <c r="B321" s="4">
        <f>'Raw Tickets'!$B$321</f>
        <v>45949</v>
      </c>
      <c r="C321" s="1" t="str">
        <f>'Raw Tickets'!$C$321</f>
        <v>A008</v>
      </c>
      <c r="D321" s="1" t="str">
        <f>'Raw Tickets'!$D$321</f>
        <v>Chat</v>
      </c>
      <c r="E321" s="1" t="str">
        <f>'Raw Tickets'!$E$321</f>
        <v>Product Quality</v>
      </c>
      <c r="F321" s="1" t="str">
        <f>'Raw Tickets'!$F$321</f>
        <v>High</v>
      </c>
      <c r="G321" s="1">
        <f>'Raw Tickets'!$G$321</f>
        <v>9.6</v>
      </c>
      <c r="H321" s="1">
        <f>'Raw Tickets'!$H$321</f>
        <v>48</v>
      </c>
      <c r="I321" s="1">
        <f>'Raw Tickets'!$I$321</f>
        <v>4</v>
      </c>
      <c r="J321" s="6">
        <f>'Raw Tickets'!$J$321</f>
        <v>88.9</v>
      </c>
      <c r="K321" s="1" t="str">
        <f>'Raw Tickets'!$K$321</f>
        <v>Closed</v>
      </c>
      <c r="L321" s="1" t="str">
        <f>'Raw Tickets'!$L$321</f>
        <v>No</v>
      </c>
      <c r="M321" s="1" t="str">
        <f>'Raw Tickets'!$M$321</f>
        <v>No</v>
      </c>
      <c r="N321" s="1" t="str">
        <f>IFERROR(VLOOKUP(C321,Agents!$A$2:$E$26,2,FALSE),"")</f>
        <v>Ananya Mishra</v>
      </c>
      <c r="O321" s="1" t="str">
        <f>IFERROR(INDEX(Agents!$D$2:$D$26,MATCH(C321,Agents!$A$2:$A$26,0)),"")</f>
        <v>Voice Support</v>
      </c>
      <c r="P321" s="1" t="str">
        <f>IFERROR(VLOOKUP(C321,Agents!$A$2:$E$26,3,FALSE),"")</f>
        <v>Kritika Shah</v>
      </c>
      <c r="Q321" s="1" t="str">
        <f>IFERROR(VLOOKUP(C321,Agents!$A$2:$E$26,5,FALSE),"")</f>
        <v>Hyderabad</v>
      </c>
      <c r="R321" s="1">
        <f>IFERROR(VLOOKUP(F321,#REF!,2,FALSE),0)</f>
        <v>0</v>
      </c>
      <c r="S321" s="1" t="str">
        <f t="shared" si="24"/>
        <v>Breached</v>
      </c>
      <c r="T321" s="1" t="str">
        <f t="shared" si="25"/>
        <v>Late</v>
      </c>
      <c r="U321" s="1" t="str">
        <f t="shared" si="26"/>
        <v>2025-10</v>
      </c>
      <c r="V321" s="1" t="str">
        <f t="shared" si="27"/>
        <v>Good</v>
      </c>
      <c r="W321" s="1" t="str">
        <f t="shared" si="28"/>
        <v>Pass</v>
      </c>
      <c r="X321" s="1" t="str">
        <f t="shared" si="29"/>
        <v>Unique</v>
      </c>
    </row>
    <row r="322" spans="1:24" ht="15" customHeight="1">
      <c r="A322" s="1" t="str">
        <f>'Raw Tickets'!$A$322</f>
        <v>T00321</v>
      </c>
      <c r="B322" s="4">
        <f>'Raw Tickets'!$B$322</f>
        <v>45726</v>
      </c>
      <c r="C322" s="1" t="str">
        <f>'Raw Tickets'!$C$322</f>
        <v>A005</v>
      </c>
      <c r="D322" s="1" t="str">
        <f>'Raw Tickets'!$D$322</f>
        <v>Call</v>
      </c>
      <c r="E322" s="1" t="str">
        <f>'Raw Tickets'!$E$322</f>
        <v>Order Cancellation</v>
      </c>
      <c r="F322" s="1" t="str">
        <f>'Raw Tickets'!$F$322</f>
        <v>Medium</v>
      </c>
      <c r="G322" s="1">
        <f>'Raw Tickets'!$G$322</f>
        <v>16.7</v>
      </c>
      <c r="H322" s="1">
        <f>'Raw Tickets'!$H$322</f>
        <v>77</v>
      </c>
      <c r="I322" s="1">
        <f>'Raw Tickets'!$I$322</f>
        <v>4</v>
      </c>
      <c r="J322" s="6">
        <f>'Raw Tickets'!$J$322</f>
        <v>75.7</v>
      </c>
      <c r="K322" s="1" t="str">
        <f>'Raw Tickets'!$K$322</f>
        <v>Closed</v>
      </c>
      <c r="L322" s="1" t="str">
        <f>'Raw Tickets'!$L$322</f>
        <v>No</v>
      </c>
      <c r="M322" s="1" t="str">
        <f>'Raw Tickets'!$M$322</f>
        <v>Yes</v>
      </c>
      <c r="N322" s="1" t="str">
        <f>IFERROR(VLOOKUP(C322,Agents!$A$2:$E$26,2,FALSE),"")</f>
        <v>Aditi Verma</v>
      </c>
      <c r="O322" s="1" t="str">
        <f>IFERROR(INDEX(Agents!$D$2:$D$26,MATCH(C322,Agents!$A$2:$A$26,0)),"")</f>
        <v>Email Support</v>
      </c>
      <c r="P322" s="1" t="str">
        <f>IFERROR(VLOOKUP(C322,Agents!$A$2:$E$26,3,FALSE),"")</f>
        <v>Aman Verma</v>
      </c>
      <c r="Q322" s="1" t="str">
        <f>IFERROR(VLOOKUP(C322,Agents!$A$2:$E$26,5,FALSE),"")</f>
        <v>Gurugram</v>
      </c>
      <c r="R322" s="1">
        <f>IFERROR(VLOOKUP(F322,#REF!,2,FALSE),0)</f>
        <v>0</v>
      </c>
      <c r="S322" s="1" t="str">
        <f t="shared" ref="S322:S385" si="30">IF(G322&lt;=R322,"Met","Breached")</f>
        <v>Breached</v>
      </c>
      <c r="T322" s="1" t="str">
        <f t="shared" ref="T322:T385" si="31">IF(H322&lt;=30,"Within Target","Late")</f>
        <v>Late</v>
      </c>
      <c r="U322" s="1" t="str">
        <f t="shared" ref="U322:U385" si="32">TEXT(B322,"yyyy-mm")</f>
        <v>2025-03</v>
      </c>
      <c r="V322" s="1" t="str">
        <f t="shared" ref="V322:V385" si="33">IF(I322&gt;=4,"Good",IF(I322=3,"Average","Poor"))</f>
        <v>Good</v>
      </c>
      <c r="W322" s="1" t="str">
        <f t="shared" ref="W322:W385" si="34">IF(J322&gt;=85,"Pass","Needs Coaching")</f>
        <v>Needs Coaching</v>
      </c>
      <c r="X322" s="1" t="str">
        <f t="shared" ref="X322:X385" si="35">IF(COUNTIF($A$2:$A$501,A322)&gt;1,"Duplicate","Unique")</f>
        <v>Unique</v>
      </c>
    </row>
    <row r="323" spans="1:24" ht="15" customHeight="1">
      <c r="A323" s="1" t="str">
        <f>'Raw Tickets'!$A$323</f>
        <v>T00322</v>
      </c>
      <c r="B323" s="4">
        <f>'Raw Tickets'!$B$323</f>
        <v>45764</v>
      </c>
      <c r="C323" s="1" t="str">
        <f>'Raw Tickets'!$C$323</f>
        <v>A010</v>
      </c>
      <c r="D323" s="1" t="str">
        <f>'Raw Tickets'!$D$323</f>
        <v>Chat</v>
      </c>
      <c r="E323" s="1" t="str">
        <f>'Raw Tickets'!$E$323</f>
        <v>Refund</v>
      </c>
      <c r="F323" s="1" t="str">
        <f>'Raw Tickets'!$F$323</f>
        <v>High</v>
      </c>
      <c r="G323" s="1">
        <f>'Raw Tickets'!$G$323</f>
        <v>7.9</v>
      </c>
      <c r="H323" s="1">
        <f>'Raw Tickets'!$H$323</f>
        <v>52</v>
      </c>
      <c r="I323" s="1">
        <f>'Raw Tickets'!$I$323</f>
        <v>4</v>
      </c>
      <c r="J323" s="6">
        <f>'Raw Tickets'!$J$323</f>
        <v>93.3</v>
      </c>
      <c r="K323" s="1" t="str">
        <f>'Raw Tickets'!$K$323</f>
        <v>Closed</v>
      </c>
      <c r="L323" s="1" t="str">
        <f>'Raw Tickets'!$L$323</f>
        <v>No</v>
      </c>
      <c r="M323" s="1" t="str">
        <f>'Raw Tickets'!$M$323</f>
        <v>Yes</v>
      </c>
      <c r="N323" s="1" t="str">
        <f>IFERROR(VLOOKUP(C323,Agents!$A$2:$E$26,2,FALSE),"")</f>
        <v>Ananya Gupta</v>
      </c>
      <c r="O323" s="1" t="str">
        <f>IFERROR(INDEX(Agents!$D$2:$D$26,MATCH(C323,Agents!$A$2:$A$26,0)),"")</f>
        <v>Voice Support</v>
      </c>
      <c r="P323" s="1" t="str">
        <f>IFERROR(VLOOKUP(C323,Agents!$A$2:$E$26,3,FALSE),"")</f>
        <v>Kritika Shah</v>
      </c>
      <c r="Q323" s="1" t="str">
        <f>IFERROR(VLOOKUP(C323,Agents!$A$2:$E$26,5,FALSE),"")</f>
        <v>Gurugram</v>
      </c>
      <c r="R323" s="1">
        <f>IFERROR(VLOOKUP(F323,#REF!,2,FALSE),0)</f>
        <v>0</v>
      </c>
      <c r="S323" s="1" t="str">
        <f t="shared" si="30"/>
        <v>Breached</v>
      </c>
      <c r="T323" s="1" t="str">
        <f t="shared" si="31"/>
        <v>Late</v>
      </c>
      <c r="U323" s="1" t="str">
        <f t="shared" si="32"/>
        <v>2025-04</v>
      </c>
      <c r="V323" s="1" t="str">
        <f t="shared" si="33"/>
        <v>Good</v>
      </c>
      <c r="W323" s="1" t="str">
        <f t="shared" si="34"/>
        <v>Pass</v>
      </c>
      <c r="X323" s="1" t="str">
        <f t="shared" si="35"/>
        <v>Unique</v>
      </c>
    </row>
    <row r="324" spans="1:24" ht="15" customHeight="1">
      <c r="A324" s="1" t="str">
        <f>'Raw Tickets'!$A$324</f>
        <v>T00323</v>
      </c>
      <c r="B324" s="4">
        <f>'Raw Tickets'!$B$324</f>
        <v>45710</v>
      </c>
      <c r="C324" s="1" t="str">
        <f>'Raw Tickets'!$C$324</f>
        <v>A015</v>
      </c>
      <c r="D324" s="1" t="str">
        <f>'Raw Tickets'!$D$324</f>
        <v>Chat</v>
      </c>
      <c r="E324" s="1" t="str">
        <f>'Raw Tickets'!$E$324</f>
        <v>Order Cancellation</v>
      </c>
      <c r="F324" s="1" t="str">
        <f>'Raw Tickets'!$F$324</f>
        <v>High</v>
      </c>
      <c r="G324" s="1">
        <f>'Raw Tickets'!$G$324</f>
        <v>14.5</v>
      </c>
      <c r="H324" s="1">
        <f>'Raw Tickets'!$H$324</f>
        <v>35</v>
      </c>
      <c r="I324" s="1">
        <f>'Raw Tickets'!$I$324</f>
        <v>4</v>
      </c>
      <c r="J324" s="6">
        <f>'Raw Tickets'!$J$324</f>
        <v>100</v>
      </c>
      <c r="K324" s="1" t="str">
        <f>'Raw Tickets'!$K$324</f>
        <v>Closed</v>
      </c>
      <c r="L324" s="1" t="str">
        <f>'Raw Tickets'!$L$324</f>
        <v>No</v>
      </c>
      <c r="M324" s="1" t="str">
        <f>'Raw Tickets'!$M$324</f>
        <v>No</v>
      </c>
      <c r="N324" s="1" t="str">
        <f>IFERROR(VLOOKUP(C324,Agents!$A$2:$E$26,2,FALSE),"")</f>
        <v>Neha Jain</v>
      </c>
      <c r="O324" s="1" t="str">
        <f>IFERROR(INDEX(Agents!$D$2:$D$26,MATCH(C324,Agents!$A$2:$A$26,0)),"")</f>
        <v>Chat Support</v>
      </c>
      <c r="P324" s="1" t="str">
        <f>IFERROR(VLOOKUP(C324,Agents!$A$2:$E$26,3,FALSE),"")</f>
        <v>Nitin Gupta</v>
      </c>
      <c r="Q324" s="1" t="str">
        <f>IFERROR(VLOOKUP(C324,Agents!$A$2:$E$26,5,FALSE),"")</f>
        <v>Bengaluru</v>
      </c>
      <c r="R324" s="1">
        <f>IFERROR(VLOOKUP(F324,#REF!,2,FALSE),0)</f>
        <v>0</v>
      </c>
      <c r="S324" s="1" t="str">
        <f t="shared" si="30"/>
        <v>Breached</v>
      </c>
      <c r="T324" s="1" t="str">
        <f t="shared" si="31"/>
        <v>Late</v>
      </c>
      <c r="U324" s="1" t="str">
        <f t="shared" si="32"/>
        <v>2025-02</v>
      </c>
      <c r="V324" s="1" t="str">
        <f t="shared" si="33"/>
        <v>Good</v>
      </c>
      <c r="W324" s="1" t="str">
        <f t="shared" si="34"/>
        <v>Pass</v>
      </c>
      <c r="X324" s="1" t="str">
        <f t="shared" si="35"/>
        <v>Unique</v>
      </c>
    </row>
    <row r="325" spans="1:24" ht="15" customHeight="1">
      <c r="A325" s="1" t="str">
        <f>'Raw Tickets'!$A$325</f>
        <v>T00324</v>
      </c>
      <c r="B325" s="4">
        <f>'Raw Tickets'!$B$325</f>
        <v>45865</v>
      </c>
      <c r="C325" s="1" t="str">
        <f>'Raw Tickets'!$C$325</f>
        <v>A019</v>
      </c>
      <c r="D325" s="1" t="str">
        <f>'Raw Tickets'!$D$325</f>
        <v>Email</v>
      </c>
      <c r="E325" s="1" t="str">
        <f>'Raw Tickets'!$E$325</f>
        <v>Refund</v>
      </c>
      <c r="F325" s="1" t="str">
        <f>'Raw Tickets'!$F$325</f>
        <v>High</v>
      </c>
      <c r="G325" s="1">
        <f>'Raw Tickets'!$G$325</f>
        <v>13.1</v>
      </c>
      <c r="H325" s="1">
        <f>'Raw Tickets'!$H$325</f>
        <v>14</v>
      </c>
      <c r="I325" s="1">
        <f>'Raw Tickets'!$I$325</f>
        <v>3</v>
      </c>
      <c r="J325" s="6">
        <f>'Raw Tickets'!$J$325</f>
        <v>81.7</v>
      </c>
      <c r="K325" s="1" t="str">
        <f>'Raw Tickets'!$K$325</f>
        <v>Closed</v>
      </c>
      <c r="L325" s="1" t="str">
        <f>'Raw Tickets'!$L$325</f>
        <v>No</v>
      </c>
      <c r="M325" s="1" t="str">
        <f>'Raw Tickets'!$M$325</f>
        <v>No</v>
      </c>
      <c r="N325" s="1" t="str">
        <f>IFERROR(VLOOKUP(C325,Agents!$A$2:$E$26,2,FALSE),"")</f>
        <v>Sneha Joshi</v>
      </c>
      <c r="O325" s="1" t="str">
        <f>IFERROR(INDEX(Agents!$D$2:$D$26,MATCH(C325,Agents!$A$2:$A$26,0)),"")</f>
        <v>Escalations</v>
      </c>
      <c r="P325" s="1" t="str">
        <f>IFERROR(VLOOKUP(C325,Agents!$A$2:$E$26,3,FALSE),"")</f>
        <v>Pallavi Rao</v>
      </c>
      <c r="Q325" s="1" t="str">
        <f>IFERROR(VLOOKUP(C325,Agents!$A$2:$E$26,5,FALSE),"")</f>
        <v>Hyderabad</v>
      </c>
      <c r="R325" s="1">
        <f>IFERROR(VLOOKUP(F325,#REF!,2,FALSE),0)</f>
        <v>0</v>
      </c>
      <c r="S325" s="1" t="str">
        <f t="shared" si="30"/>
        <v>Breached</v>
      </c>
      <c r="T325" s="1" t="str">
        <f t="shared" si="31"/>
        <v>Within Target</v>
      </c>
      <c r="U325" s="1" t="str">
        <f t="shared" si="32"/>
        <v>2025-07</v>
      </c>
      <c r="V325" s="1" t="str">
        <f t="shared" si="33"/>
        <v>Average</v>
      </c>
      <c r="W325" s="1" t="str">
        <f t="shared" si="34"/>
        <v>Needs Coaching</v>
      </c>
      <c r="X325" s="1" t="str">
        <f t="shared" si="35"/>
        <v>Unique</v>
      </c>
    </row>
    <row r="326" spans="1:24" ht="15" customHeight="1">
      <c r="A326" s="1" t="str">
        <f>'Raw Tickets'!$A$326</f>
        <v>T00325</v>
      </c>
      <c r="B326" s="4">
        <f>'Raw Tickets'!$B$326</f>
        <v>45903</v>
      </c>
      <c r="C326" s="1" t="str">
        <f>'Raw Tickets'!$C$326</f>
        <v>A023</v>
      </c>
      <c r="D326" s="1" t="str">
        <f>'Raw Tickets'!$D$326</f>
        <v>Call</v>
      </c>
      <c r="E326" s="1" t="str">
        <f>'Raw Tickets'!$E$326</f>
        <v>Product Quality</v>
      </c>
      <c r="F326" s="1" t="str">
        <f>'Raw Tickets'!$F$326</f>
        <v>Medium</v>
      </c>
      <c r="G326" s="1">
        <f>'Raw Tickets'!$G$326</f>
        <v>14.8</v>
      </c>
      <c r="H326" s="1">
        <f>'Raw Tickets'!$H$326</f>
        <v>44</v>
      </c>
      <c r="I326" s="1">
        <f>'Raw Tickets'!$I$326</f>
        <v>3</v>
      </c>
      <c r="J326" s="6">
        <f>'Raw Tickets'!$J$326</f>
        <v>90.7</v>
      </c>
      <c r="K326" s="1" t="str">
        <f>'Raw Tickets'!$K$326</f>
        <v>Closed</v>
      </c>
      <c r="L326" s="1" t="str">
        <f>'Raw Tickets'!$L$326</f>
        <v>Yes</v>
      </c>
      <c r="M326" s="1" t="str">
        <f>'Raw Tickets'!$M$326</f>
        <v>No</v>
      </c>
      <c r="N326" s="1" t="str">
        <f>IFERROR(VLOOKUP(C326,Agents!$A$2:$E$26,2,FALSE),"")</f>
        <v>Ishita Verma</v>
      </c>
      <c r="O326" s="1" t="str">
        <f>IFERROR(INDEX(Agents!$D$2:$D$26,MATCH(C326,Agents!$A$2:$A$26,0)),"")</f>
        <v>Seller Support</v>
      </c>
      <c r="P326" s="1" t="str">
        <f>IFERROR(VLOOKUP(C326,Agents!$A$2:$E$26,3,FALSE),"")</f>
        <v>Vivek Jain</v>
      </c>
      <c r="Q326" s="1" t="str">
        <f>IFERROR(VLOOKUP(C326,Agents!$A$2:$E$26,5,FALSE),"")</f>
        <v>Noida</v>
      </c>
      <c r="R326" s="1">
        <f>IFERROR(VLOOKUP(F326,#REF!,2,FALSE),0)</f>
        <v>0</v>
      </c>
      <c r="S326" s="1" t="str">
        <f t="shared" si="30"/>
        <v>Breached</v>
      </c>
      <c r="T326" s="1" t="str">
        <f t="shared" si="31"/>
        <v>Late</v>
      </c>
      <c r="U326" s="1" t="str">
        <f t="shared" si="32"/>
        <v>2025-09</v>
      </c>
      <c r="V326" s="1" t="str">
        <f t="shared" si="33"/>
        <v>Average</v>
      </c>
      <c r="W326" s="1" t="str">
        <f t="shared" si="34"/>
        <v>Pass</v>
      </c>
      <c r="X326" s="1" t="str">
        <f t="shared" si="35"/>
        <v>Unique</v>
      </c>
    </row>
    <row r="327" spans="1:24" ht="15" customHeight="1">
      <c r="A327" s="1" t="str">
        <f>'Raw Tickets'!$A$327</f>
        <v>T00326</v>
      </c>
      <c r="B327" s="4">
        <f>'Raw Tickets'!$B$327</f>
        <v>45948</v>
      </c>
      <c r="C327" s="1" t="str">
        <f>'Raw Tickets'!$C$327</f>
        <v>A012</v>
      </c>
      <c r="D327" s="1" t="str">
        <f>'Raw Tickets'!$D$327</f>
        <v>Email</v>
      </c>
      <c r="E327" s="1" t="str">
        <f>'Raw Tickets'!$E$327</f>
        <v>Account Issue</v>
      </c>
      <c r="F327" s="1" t="str">
        <f>'Raw Tickets'!$F$327</f>
        <v>Medium</v>
      </c>
      <c r="G327" s="1">
        <f>'Raw Tickets'!$G$327</f>
        <v>31.5</v>
      </c>
      <c r="H327" s="1">
        <f>'Raw Tickets'!$H$327</f>
        <v>34</v>
      </c>
      <c r="I327" s="1">
        <f>'Raw Tickets'!$I$327</f>
        <v>1</v>
      </c>
      <c r="J327" s="6">
        <f>'Raw Tickets'!$J$327</f>
        <v>88.8</v>
      </c>
      <c r="K327" s="1" t="str">
        <f>'Raw Tickets'!$K$327</f>
        <v>Closed</v>
      </c>
      <c r="L327" s="1" t="str">
        <f>'Raw Tickets'!$L$327</f>
        <v>Yes</v>
      </c>
      <c r="M327" s="1" t="str">
        <f>'Raw Tickets'!$M$327</f>
        <v>No</v>
      </c>
      <c r="N327" s="1" t="str">
        <f>IFERROR(VLOOKUP(C327,Agents!$A$2:$E$26,2,FALSE),"")</f>
        <v>Ankit Khan</v>
      </c>
      <c r="O327" s="1" t="str">
        <f>IFERROR(INDEX(Agents!$D$2:$D$26,MATCH(C327,Agents!$A$2:$A$26,0)),"")</f>
        <v>Chat Support</v>
      </c>
      <c r="P327" s="1" t="str">
        <f>IFERROR(VLOOKUP(C327,Agents!$A$2:$E$26,3,FALSE),"")</f>
        <v>Nitin Gupta</v>
      </c>
      <c r="Q327" s="1" t="str">
        <f>IFERROR(VLOOKUP(C327,Agents!$A$2:$E$26,5,FALSE),"")</f>
        <v>Bengaluru</v>
      </c>
      <c r="R327" s="1">
        <f>IFERROR(VLOOKUP(F327,#REF!,2,FALSE),0)</f>
        <v>0</v>
      </c>
      <c r="S327" s="1" t="str">
        <f t="shared" si="30"/>
        <v>Breached</v>
      </c>
      <c r="T327" s="1" t="str">
        <f t="shared" si="31"/>
        <v>Late</v>
      </c>
      <c r="U327" s="1" t="str">
        <f t="shared" si="32"/>
        <v>2025-10</v>
      </c>
      <c r="V327" s="1" t="str">
        <f t="shared" si="33"/>
        <v>Poor</v>
      </c>
      <c r="W327" s="1" t="str">
        <f t="shared" si="34"/>
        <v>Pass</v>
      </c>
      <c r="X327" s="1" t="str">
        <f t="shared" si="35"/>
        <v>Unique</v>
      </c>
    </row>
    <row r="328" spans="1:24" ht="15" customHeight="1">
      <c r="A328" s="1" t="str">
        <f>'Raw Tickets'!$A$328</f>
        <v>T00327</v>
      </c>
      <c r="B328" s="4">
        <f>'Raw Tickets'!$B$328</f>
        <v>45858</v>
      </c>
      <c r="C328" s="1" t="str">
        <f>'Raw Tickets'!$C$328</f>
        <v>A003</v>
      </c>
      <c r="D328" s="1" t="str">
        <f>'Raw Tickets'!$D$328</f>
        <v>Call</v>
      </c>
      <c r="E328" s="1" t="str">
        <f>'Raw Tickets'!$E$328</f>
        <v>Account Issue</v>
      </c>
      <c r="F328" s="1" t="str">
        <f>'Raw Tickets'!$F$328</f>
        <v>Low</v>
      </c>
      <c r="G328" s="1">
        <f>'Raw Tickets'!$G$328</f>
        <v>29.5</v>
      </c>
      <c r="H328" s="1">
        <f>'Raw Tickets'!$H$328</f>
        <v>72</v>
      </c>
      <c r="I328" s="1">
        <f>'Raw Tickets'!$I$328</f>
        <v>4</v>
      </c>
      <c r="J328" s="6">
        <f>'Raw Tickets'!$J$328</f>
        <v>90.4</v>
      </c>
      <c r="K328" s="1" t="str">
        <f>'Raw Tickets'!$K$328</f>
        <v>Closed</v>
      </c>
      <c r="L328" s="1" t="str">
        <f>'Raw Tickets'!$L$328</f>
        <v>No</v>
      </c>
      <c r="M328" s="1" t="str">
        <f>'Raw Tickets'!$M$328</f>
        <v>No</v>
      </c>
      <c r="N328" s="1" t="str">
        <f>IFERROR(VLOOKUP(C328,Agents!$A$2:$E$26,2,FALSE),"")</f>
        <v>Kabir Verma</v>
      </c>
      <c r="O328" s="1" t="str">
        <f>IFERROR(INDEX(Agents!$D$2:$D$26,MATCH(C328,Agents!$A$2:$A$26,0)),"")</f>
        <v>Email Support</v>
      </c>
      <c r="P328" s="1" t="str">
        <f>IFERROR(VLOOKUP(C328,Agents!$A$2:$E$26,3,FALSE),"")</f>
        <v>Aman Verma</v>
      </c>
      <c r="Q328" s="1" t="str">
        <f>IFERROR(VLOOKUP(C328,Agents!$A$2:$E$26,5,FALSE),"")</f>
        <v>Gurugram</v>
      </c>
      <c r="R328" s="1">
        <f>IFERROR(VLOOKUP(F328,#REF!,2,FALSE),0)</f>
        <v>0</v>
      </c>
      <c r="S328" s="1" t="str">
        <f t="shared" si="30"/>
        <v>Breached</v>
      </c>
      <c r="T328" s="1" t="str">
        <f t="shared" si="31"/>
        <v>Late</v>
      </c>
      <c r="U328" s="1" t="str">
        <f t="shared" si="32"/>
        <v>2025-07</v>
      </c>
      <c r="V328" s="1" t="str">
        <f t="shared" si="33"/>
        <v>Good</v>
      </c>
      <c r="W328" s="1" t="str">
        <f t="shared" si="34"/>
        <v>Pass</v>
      </c>
      <c r="X328" s="1" t="str">
        <f t="shared" si="35"/>
        <v>Unique</v>
      </c>
    </row>
    <row r="329" spans="1:24" ht="15" customHeight="1">
      <c r="A329" s="1" t="str">
        <f>'Raw Tickets'!$A$329</f>
        <v>T00328</v>
      </c>
      <c r="B329" s="4">
        <f>'Raw Tickets'!$B$329</f>
        <v>45888</v>
      </c>
      <c r="C329" s="1" t="str">
        <f>'Raw Tickets'!$C$329</f>
        <v>A001</v>
      </c>
      <c r="D329" s="1" t="str">
        <f>'Raw Tickets'!$D$329</f>
        <v>Call</v>
      </c>
      <c r="E329" s="1" t="str">
        <f>'Raw Tickets'!$E$329</f>
        <v>Payment Failure</v>
      </c>
      <c r="F329" s="1" t="str">
        <f>'Raw Tickets'!$F$329</f>
        <v>Low</v>
      </c>
      <c r="G329" s="1">
        <f>'Raw Tickets'!$G$329</f>
        <v>37.799999999999997</v>
      </c>
      <c r="H329" s="1">
        <f>'Raw Tickets'!$H$329</f>
        <v>37</v>
      </c>
      <c r="I329" s="1">
        <f>'Raw Tickets'!$I$329</f>
        <v>3</v>
      </c>
      <c r="J329" s="6">
        <f>'Raw Tickets'!$J$329</f>
        <v>77.3</v>
      </c>
      <c r="K329" s="1" t="str">
        <f>'Raw Tickets'!$K$329</f>
        <v>Closed</v>
      </c>
      <c r="L329" s="1" t="str">
        <f>'Raw Tickets'!$L$329</f>
        <v>No</v>
      </c>
      <c r="M329" s="1" t="str">
        <f>'Raw Tickets'!$M$329</f>
        <v>No</v>
      </c>
      <c r="N329" s="1" t="str">
        <f>IFERROR(VLOOKUP(C329,Agents!$A$2:$E$26,2,FALSE),"")</f>
        <v>Ishita Patel</v>
      </c>
      <c r="O329" s="1" t="str">
        <f>IFERROR(INDEX(Agents!$D$2:$D$26,MATCH(C329,Agents!$A$2:$A$26,0)),"")</f>
        <v>Email Support</v>
      </c>
      <c r="P329" s="1" t="str">
        <f>IFERROR(VLOOKUP(C329,Agents!$A$2:$E$26,3,FALSE),"")</f>
        <v>Aman Verma</v>
      </c>
      <c r="Q329" s="1" t="str">
        <f>IFERROR(VLOOKUP(C329,Agents!$A$2:$E$26,5,FALSE),"")</f>
        <v>Gurugram</v>
      </c>
      <c r="R329" s="1">
        <f>IFERROR(VLOOKUP(F329,#REF!,2,FALSE),0)</f>
        <v>0</v>
      </c>
      <c r="S329" s="1" t="str">
        <f t="shared" si="30"/>
        <v>Breached</v>
      </c>
      <c r="T329" s="1" t="str">
        <f t="shared" si="31"/>
        <v>Late</v>
      </c>
      <c r="U329" s="1" t="str">
        <f t="shared" si="32"/>
        <v>2025-08</v>
      </c>
      <c r="V329" s="1" t="str">
        <f t="shared" si="33"/>
        <v>Average</v>
      </c>
      <c r="W329" s="1" t="str">
        <f t="shared" si="34"/>
        <v>Needs Coaching</v>
      </c>
      <c r="X329" s="1" t="str">
        <f t="shared" si="35"/>
        <v>Unique</v>
      </c>
    </row>
    <row r="330" spans="1:24" ht="15" customHeight="1">
      <c r="A330" s="1" t="str">
        <f>'Raw Tickets'!$A$330</f>
        <v>T00329</v>
      </c>
      <c r="B330" s="4">
        <f>'Raw Tickets'!$B$330</f>
        <v>45693</v>
      </c>
      <c r="C330" s="1" t="str">
        <f>'Raw Tickets'!$C$330</f>
        <v>A021</v>
      </c>
      <c r="D330" s="1" t="str">
        <f>'Raw Tickets'!$D$330</f>
        <v>Call</v>
      </c>
      <c r="E330" s="1" t="str">
        <f>'Raw Tickets'!$E$330</f>
        <v>Payment Failure</v>
      </c>
      <c r="F330" s="1" t="str">
        <f>'Raw Tickets'!$F$330</f>
        <v>Medium</v>
      </c>
      <c r="G330" s="1">
        <f>'Raw Tickets'!$G$330</f>
        <v>24</v>
      </c>
      <c r="H330" s="1">
        <f>'Raw Tickets'!$H$330</f>
        <v>30</v>
      </c>
      <c r="I330" s="1">
        <f>'Raw Tickets'!$I$330</f>
        <v>3</v>
      </c>
      <c r="J330" s="6">
        <f>'Raw Tickets'!$J$330</f>
        <v>88.2</v>
      </c>
      <c r="K330" s="1" t="str">
        <f>'Raw Tickets'!$K$330</f>
        <v>Closed</v>
      </c>
      <c r="L330" s="1" t="str">
        <f>'Raw Tickets'!$L$330</f>
        <v>No</v>
      </c>
      <c r="M330" s="1" t="str">
        <f>'Raw Tickets'!$M$330</f>
        <v>No</v>
      </c>
      <c r="N330" s="1" t="str">
        <f>IFERROR(VLOOKUP(C330,Agents!$A$2:$E$26,2,FALSE),"")</f>
        <v>Nikhil Bansal</v>
      </c>
      <c r="O330" s="1" t="str">
        <f>IFERROR(INDEX(Agents!$D$2:$D$26,MATCH(C330,Agents!$A$2:$A$26,0)),"")</f>
        <v>Seller Support</v>
      </c>
      <c r="P330" s="1" t="str">
        <f>IFERROR(VLOOKUP(C330,Agents!$A$2:$E$26,3,FALSE),"")</f>
        <v>Vivek Jain</v>
      </c>
      <c r="Q330" s="1" t="str">
        <f>IFERROR(VLOOKUP(C330,Agents!$A$2:$E$26,5,FALSE),"")</f>
        <v>Bengaluru</v>
      </c>
      <c r="R330" s="1">
        <f>IFERROR(VLOOKUP(F330,#REF!,2,FALSE),0)</f>
        <v>0</v>
      </c>
      <c r="S330" s="1" t="str">
        <f t="shared" si="30"/>
        <v>Breached</v>
      </c>
      <c r="T330" s="1" t="str">
        <f t="shared" si="31"/>
        <v>Within Target</v>
      </c>
      <c r="U330" s="1" t="str">
        <f t="shared" si="32"/>
        <v>2025-02</v>
      </c>
      <c r="V330" s="1" t="str">
        <f t="shared" si="33"/>
        <v>Average</v>
      </c>
      <c r="W330" s="1" t="str">
        <f t="shared" si="34"/>
        <v>Pass</v>
      </c>
      <c r="X330" s="1" t="str">
        <f t="shared" si="35"/>
        <v>Unique</v>
      </c>
    </row>
    <row r="331" spans="1:24" ht="15" customHeight="1">
      <c r="A331" s="1" t="str">
        <f>'Raw Tickets'!$A$331</f>
        <v>T00330</v>
      </c>
      <c r="B331" s="4">
        <f>'Raw Tickets'!$B$331</f>
        <v>45940</v>
      </c>
      <c r="C331" s="1" t="str">
        <f>'Raw Tickets'!$C$331</f>
        <v>A017</v>
      </c>
      <c r="D331" s="1" t="str">
        <f>'Raw Tickets'!$D$331</f>
        <v>Call</v>
      </c>
      <c r="E331" s="1" t="str">
        <f>'Raw Tickets'!$E$331</f>
        <v>Delivery Delay</v>
      </c>
      <c r="F331" s="1" t="str">
        <f>'Raw Tickets'!$F$331</f>
        <v>Medium</v>
      </c>
      <c r="G331" s="1">
        <f>'Raw Tickets'!$G$331</f>
        <v>18.899999999999999</v>
      </c>
      <c r="H331" s="1">
        <f>'Raw Tickets'!$H$331</f>
        <v>39</v>
      </c>
      <c r="I331" s="1">
        <f>'Raw Tickets'!$I$331</f>
        <v>4</v>
      </c>
      <c r="J331" s="6">
        <f>'Raw Tickets'!$J$331</f>
        <v>97.5</v>
      </c>
      <c r="K331" s="1" t="str">
        <f>'Raw Tickets'!$K$331</f>
        <v>Closed</v>
      </c>
      <c r="L331" s="1" t="str">
        <f>'Raw Tickets'!$L$331</f>
        <v>No</v>
      </c>
      <c r="M331" s="1" t="str">
        <f>'Raw Tickets'!$M$331</f>
        <v>No</v>
      </c>
      <c r="N331" s="1" t="str">
        <f>IFERROR(VLOOKUP(C331,Agents!$A$2:$E$26,2,FALSE),"")</f>
        <v>Varun Mehta</v>
      </c>
      <c r="O331" s="1" t="str">
        <f>IFERROR(INDEX(Agents!$D$2:$D$26,MATCH(C331,Agents!$A$2:$A$26,0)),"")</f>
        <v>Escalations</v>
      </c>
      <c r="P331" s="1" t="str">
        <f>IFERROR(VLOOKUP(C331,Agents!$A$2:$E$26,3,FALSE),"")</f>
        <v>Pallavi Rao</v>
      </c>
      <c r="Q331" s="1" t="str">
        <f>IFERROR(VLOOKUP(C331,Agents!$A$2:$E$26,5,FALSE),"")</f>
        <v>Gurugram</v>
      </c>
      <c r="R331" s="1">
        <f>IFERROR(VLOOKUP(F331,#REF!,2,FALSE),0)</f>
        <v>0</v>
      </c>
      <c r="S331" s="1" t="str">
        <f t="shared" si="30"/>
        <v>Breached</v>
      </c>
      <c r="T331" s="1" t="str">
        <f t="shared" si="31"/>
        <v>Late</v>
      </c>
      <c r="U331" s="1" t="str">
        <f t="shared" si="32"/>
        <v>2025-10</v>
      </c>
      <c r="V331" s="1" t="str">
        <f t="shared" si="33"/>
        <v>Good</v>
      </c>
      <c r="W331" s="1" t="str">
        <f t="shared" si="34"/>
        <v>Pass</v>
      </c>
      <c r="X331" s="1" t="str">
        <f t="shared" si="35"/>
        <v>Unique</v>
      </c>
    </row>
    <row r="332" spans="1:24" ht="15" customHeight="1">
      <c r="A332" s="1" t="str">
        <f>'Raw Tickets'!$A$332</f>
        <v>T00331</v>
      </c>
      <c r="B332" s="4">
        <f>'Raw Tickets'!$B$332</f>
        <v>45716</v>
      </c>
      <c r="C332" s="1" t="str">
        <f>'Raw Tickets'!$C$332</f>
        <v>A007</v>
      </c>
      <c r="D332" s="1" t="str">
        <f>'Raw Tickets'!$D$332</f>
        <v>Call</v>
      </c>
      <c r="E332" s="1" t="str">
        <f>'Raw Tickets'!$E$332</f>
        <v>Account Issue</v>
      </c>
      <c r="F332" s="1" t="str">
        <f>'Raw Tickets'!$F$332</f>
        <v>Medium</v>
      </c>
      <c r="G332" s="1">
        <f>'Raw Tickets'!$G$332</f>
        <v>27.7</v>
      </c>
      <c r="H332" s="1">
        <f>'Raw Tickets'!$H$332</f>
        <v>35</v>
      </c>
      <c r="I332" s="1">
        <f>'Raw Tickets'!$I$332</f>
        <v>4</v>
      </c>
      <c r="J332" s="6">
        <f>'Raw Tickets'!$J$332</f>
        <v>76.7</v>
      </c>
      <c r="K332" s="1" t="str">
        <f>'Raw Tickets'!$K$332</f>
        <v>Closed</v>
      </c>
      <c r="L332" s="1" t="str">
        <f>'Raw Tickets'!$L$332</f>
        <v>No</v>
      </c>
      <c r="M332" s="1" t="str">
        <f>'Raw Tickets'!$M$332</f>
        <v>No</v>
      </c>
      <c r="N332" s="1" t="str">
        <f>IFERROR(VLOOKUP(C332,Agents!$A$2:$E$26,2,FALSE),"")</f>
        <v>Kavya Patel</v>
      </c>
      <c r="O332" s="1" t="str">
        <f>IFERROR(INDEX(Agents!$D$2:$D$26,MATCH(C332,Agents!$A$2:$A$26,0)),"")</f>
        <v>Voice Support</v>
      </c>
      <c r="P332" s="1" t="str">
        <f>IFERROR(VLOOKUP(C332,Agents!$A$2:$E$26,3,FALSE),"")</f>
        <v>Kritika Shah</v>
      </c>
      <c r="Q332" s="1" t="str">
        <f>IFERROR(VLOOKUP(C332,Agents!$A$2:$E$26,5,FALSE),"")</f>
        <v>Noida</v>
      </c>
      <c r="R332" s="1">
        <f>IFERROR(VLOOKUP(F332,#REF!,2,FALSE),0)</f>
        <v>0</v>
      </c>
      <c r="S332" s="1" t="str">
        <f t="shared" si="30"/>
        <v>Breached</v>
      </c>
      <c r="T332" s="1" t="str">
        <f t="shared" si="31"/>
        <v>Late</v>
      </c>
      <c r="U332" s="1" t="str">
        <f t="shared" si="32"/>
        <v>2025-02</v>
      </c>
      <c r="V332" s="1" t="str">
        <f t="shared" si="33"/>
        <v>Good</v>
      </c>
      <c r="W332" s="1" t="str">
        <f t="shared" si="34"/>
        <v>Needs Coaching</v>
      </c>
      <c r="X332" s="1" t="str">
        <f t="shared" si="35"/>
        <v>Unique</v>
      </c>
    </row>
    <row r="333" spans="1:24" ht="15" customHeight="1">
      <c r="A333" s="1" t="str">
        <f>'Raw Tickets'!$A$333</f>
        <v>T00332</v>
      </c>
      <c r="B333" s="4">
        <f>'Raw Tickets'!$B$333</f>
        <v>45951</v>
      </c>
      <c r="C333" s="1" t="str">
        <f>'Raw Tickets'!$C$333</f>
        <v>A016</v>
      </c>
      <c r="D333" s="1" t="str">
        <f>'Raw Tickets'!$D$333</f>
        <v>Email</v>
      </c>
      <c r="E333" s="1" t="str">
        <f>'Raw Tickets'!$E$333</f>
        <v>Refund</v>
      </c>
      <c r="F333" s="1" t="str">
        <f>'Raw Tickets'!$F$333</f>
        <v>Medium</v>
      </c>
      <c r="G333" s="1">
        <f>'Raw Tickets'!$G$333</f>
        <v>28.6</v>
      </c>
      <c r="H333" s="1">
        <f>'Raw Tickets'!$H$333</f>
        <v>26</v>
      </c>
      <c r="I333" s="1">
        <f>'Raw Tickets'!$I$333</f>
        <v>5</v>
      </c>
      <c r="J333" s="6">
        <f>'Raw Tickets'!$J$333</f>
        <v>87.9</v>
      </c>
      <c r="K333" s="1" t="str">
        <f>'Raw Tickets'!$K$333</f>
        <v>Closed</v>
      </c>
      <c r="L333" s="1" t="str">
        <f>'Raw Tickets'!$L$333</f>
        <v>No</v>
      </c>
      <c r="M333" s="1" t="str">
        <f>'Raw Tickets'!$M$333</f>
        <v>No</v>
      </c>
      <c r="N333" s="1" t="str">
        <f>IFERROR(VLOOKUP(C333,Agents!$A$2:$E$26,2,FALSE),"")</f>
        <v>Pooja Bansal</v>
      </c>
      <c r="O333" s="1" t="str">
        <f>IFERROR(INDEX(Agents!$D$2:$D$26,MATCH(C333,Agents!$A$2:$A$26,0)),"")</f>
        <v>Escalations</v>
      </c>
      <c r="P333" s="1" t="str">
        <f>IFERROR(VLOOKUP(C333,Agents!$A$2:$E$26,3,FALSE),"")</f>
        <v>Pallavi Rao</v>
      </c>
      <c r="Q333" s="1" t="str">
        <f>IFERROR(VLOOKUP(C333,Agents!$A$2:$E$26,5,FALSE),"")</f>
        <v>Hyderabad</v>
      </c>
      <c r="R333" s="1">
        <f>IFERROR(VLOOKUP(F333,#REF!,2,FALSE),0)</f>
        <v>0</v>
      </c>
      <c r="S333" s="1" t="str">
        <f t="shared" si="30"/>
        <v>Breached</v>
      </c>
      <c r="T333" s="1" t="str">
        <f t="shared" si="31"/>
        <v>Within Target</v>
      </c>
      <c r="U333" s="1" t="str">
        <f t="shared" si="32"/>
        <v>2025-10</v>
      </c>
      <c r="V333" s="1" t="str">
        <f t="shared" si="33"/>
        <v>Good</v>
      </c>
      <c r="W333" s="1" t="str">
        <f t="shared" si="34"/>
        <v>Pass</v>
      </c>
      <c r="X333" s="1" t="str">
        <f t="shared" si="35"/>
        <v>Unique</v>
      </c>
    </row>
    <row r="334" spans="1:24" ht="15" customHeight="1">
      <c r="A334" s="1" t="str">
        <f>'Raw Tickets'!$A$334</f>
        <v>T00333</v>
      </c>
      <c r="B334" s="4">
        <f>'Raw Tickets'!$B$334</f>
        <v>45931</v>
      </c>
      <c r="C334" s="1" t="str">
        <f>'Raw Tickets'!$C$334</f>
        <v>A014</v>
      </c>
      <c r="D334" s="1" t="str">
        <f>'Raw Tickets'!$D$334</f>
        <v>Email</v>
      </c>
      <c r="E334" s="1" t="str">
        <f>'Raw Tickets'!$E$334</f>
        <v>Account Issue</v>
      </c>
      <c r="F334" s="1" t="str">
        <f>'Raw Tickets'!$F$334</f>
        <v>Low</v>
      </c>
      <c r="G334" s="1">
        <f>'Raw Tickets'!$G$334</f>
        <v>28.6</v>
      </c>
      <c r="H334" s="1">
        <f>'Raw Tickets'!$H$334</f>
        <v>24</v>
      </c>
      <c r="I334" s="1">
        <f>'Raw Tickets'!$I$334</f>
        <v>2</v>
      </c>
      <c r="J334" s="6">
        <f>'Raw Tickets'!$J$334</f>
        <v>74.3</v>
      </c>
      <c r="K334" s="1" t="str">
        <f>'Raw Tickets'!$K$334</f>
        <v>Closed</v>
      </c>
      <c r="L334" s="1" t="str">
        <f>'Raw Tickets'!$L$334</f>
        <v>Yes</v>
      </c>
      <c r="M334" s="1" t="str">
        <f>'Raw Tickets'!$M$334</f>
        <v>No</v>
      </c>
      <c r="N334" s="1" t="str">
        <f>IFERROR(VLOOKUP(C334,Agents!$A$2:$E$26,2,FALSE),"")</f>
        <v>Ananya Jain</v>
      </c>
      <c r="O334" s="1" t="str">
        <f>IFERROR(INDEX(Agents!$D$2:$D$26,MATCH(C334,Agents!$A$2:$A$26,0)),"")</f>
        <v>Chat Support</v>
      </c>
      <c r="P334" s="1" t="str">
        <f>IFERROR(VLOOKUP(C334,Agents!$A$2:$E$26,3,FALSE),"")</f>
        <v>Nitin Gupta</v>
      </c>
      <c r="Q334" s="1" t="str">
        <f>IFERROR(VLOOKUP(C334,Agents!$A$2:$E$26,5,FALSE),"")</f>
        <v>Bengaluru</v>
      </c>
      <c r="R334" s="1">
        <f>IFERROR(VLOOKUP(F334,#REF!,2,FALSE),0)</f>
        <v>0</v>
      </c>
      <c r="S334" s="1" t="str">
        <f t="shared" si="30"/>
        <v>Breached</v>
      </c>
      <c r="T334" s="1" t="str">
        <f t="shared" si="31"/>
        <v>Within Target</v>
      </c>
      <c r="U334" s="1" t="str">
        <f t="shared" si="32"/>
        <v>2025-10</v>
      </c>
      <c r="V334" s="1" t="str">
        <f t="shared" si="33"/>
        <v>Poor</v>
      </c>
      <c r="W334" s="1" t="str">
        <f t="shared" si="34"/>
        <v>Needs Coaching</v>
      </c>
      <c r="X334" s="1" t="str">
        <f t="shared" si="35"/>
        <v>Unique</v>
      </c>
    </row>
    <row r="335" spans="1:24" ht="15" customHeight="1">
      <c r="A335" s="1" t="str">
        <f>'Raw Tickets'!$A$335</f>
        <v>T00334</v>
      </c>
      <c r="B335" s="4">
        <f>'Raw Tickets'!$B$335</f>
        <v>45926</v>
      </c>
      <c r="C335" s="1" t="str">
        <f>'Raw Tickets'!$C$335</f>
        <v>A008</v>
      </c>
      <c r="D335" s="1" t="str">
        <f>'Raw Tickets'!$D$335</f>
        <v>Email</v>
      </c>
      <c r="E335" s="1" t="str">
        <f>'Raw Tickets'!$E$335</f>
        <v>Delivery Delay</v>
      </c>
      <c r="F335" s="1" t="str">
        <f>'Raw Tickets'!$F$335</f>
        <v>Medium</v>
      </c>
      <c r="G335" s="1">
        <f>'Raw Tickets'!$G$335</f>
        <v>22.3</v>
      </c>
      <c r="H335" s="1">
        <f>'Raw Tickets'!$H$335</f>
        <v>42</v>
      </c>
      <c r="I335" s="1">
        <f>'Raw Tickets'!$I$335</f>
        <v>2</v>
      </c>
      <c r="J335" s="6">
        <f>'Raw Tickets'!$J$335</f>
        <v>86.3</v>
      </c>
      <c r="K335" s="1" t="str">
        <f>'Raw Tickets'!$K$335</f>
        <v>Closed</v>
      </c>
      <c r="L335" s="1" t="str">
        <f>'Raw Tickets'!$L$335</f>
        <v>No</v>
      </c>
      <c r="M335" s="1" t="str">
        <f>'Raw Tickets'!$M$335</f>
        <v>No</v>
      </c>
      <c r="N335" s="1" t="str">
        <f>IFERROR(VLOOKUP(C335,Agents!$A$2:$E$26,2,FALSE),"")</f>
        <v>Ananya Mishra</v>
      </c>
      <c r="O335" s="1" t="str">
        <f>IFERROR(INDEX(Agents!$D$2:$D$26,MATCH(C335,Agents!$A$2:$A$26,0)),"")</f>
        <v>Voice Support</v>
      </c>
      <c r="P335" s="1" t="str">
        <f>IFERROR(VLOOKUP(C335,Agents!$A$2:$E$26,3,FALSE),"")</f>
        <v>Kritika Shah</v>
      </c>
      <c r="Q335" s="1" t="str">
        <f>IFERROR(VLOOKUP(C335,Agents!$A$2:$E$26,5,FALSE),"")</f>
        <v>Hyderabad</v>
      </c>
      <c r="R335" s="1">
        <f>IFERROR(VLOOKUP(F335,#REF!,2,FALSE),0)</f>
        <v>0</v>
      </c>
      <c r="S335" s="1" t="str">
        <f t="shared" si="30"/>
        <v>Breached</v>
      </c>
      <c r="T335" s="1" t="str">
        <f t="shared" si="31"/>
        <v>Late</v>
      </c>
      <c r="U335" s="1" t="str">
        <f t="shared" si="32"/>
        <v>2025-09</v>
      </c>
      <c r="V335" s="1" t="str">
        <f t="shared" si="33"/>
        <v>Poor</v>
      </c>
      <c r="W335" s="1" t="str">
        <f t="shared" si="34"/>
        <v>Pass</v>
      </c>
      <c r="X335" s="1" t="str">
        <f t="shared" si="35"/>
        <v>Unique</v>
      </c>
    </row>
    <row r="336" spans="1:24" ht="15" customHeight="1">
      <c r="A336" s="1" t="str">
        <f>'Raw Tickets'!$A$336</f>
        <v>T00335</v>
      </c>
      <c r="B336" s="4">
        <f>'Raw Tickets'!$B$336</f>
        <v>45662</v>
      </c>
      <c r="C336" s="1" t="str">
        <f>'Raw Tickets'!$C$336</f>
        <v>A010</v>
      </c>
      <c r="D336" s="1" t="str">
        <f>'Raw Tickets'!$D$336</f>
        <v>Email</v>
      </c>
      <c r="E336" s="1" t="str">
        <f>'Raw Tickets'!$E$336</f>
        <v>Order Cancellation</v>
      </c>
      <c r="F336" s="1" t="str">
        <f>'Raw Tickets'!$F$336</f>
        <v>Low</v>
      </c>
      <c r="G336" s="1">
        <f>'Raw Tickets'!$G$336</f>
        <v>9.1</v>
      </c>
      <c r="H336" s="1">
        <f>'Raw Tickets'!$H$336</f>
        <v>42</v>
      </c>
      <c r="I336" s="1">
        <f>'Raw Tickets'!$I$336</f>
        <v>5</v>
      </c>
      <c r="J336" s="6">
        <f>'Raw Tickets'!$J$336</f>
        <v>79</v>
      </c>
      <c r="K336" s="1" t="str">
        <f>'Raw Tickets'!$K$336</f>
        <v>Closed</v>
      </c>
      <c r="L336" s="1" t="str">
        <f>'Raw Tickets'!$L$336</f>
        <v>No</v>
      </c>
      <c r="M336" s="1" t="str">
        <f>'Raw Tickets'!$M$336</f>
        <v>No</v>
      </c>
      <c r="N336" s="1" t="str">
        <f>IFERROR(VLOOKUP(C336,Agents!$A$2:$E$26,2,FALSE),"")</f>
        <v>Ananya Gupta</v>
      </c>
      <c r="O336" s="1" t="str">
        <f>IFERROR(INDEX(Agents!$D$2:$D$26,MATCH(C336,Agents!$A$2:$A$26,0)),"")</f>
        <v>Voice Support</v>
      </c>
      <c r="P336" s="1" t="str">
        <f>IFERROR(VLOOKUP(C336,Agents!$A$2:$E$26,3,FALSE),"")</f>
        <v>Kritika Shah</v>
      </c>
      <c r="Q336" s="1" t="str">
        <f>IFERROR(VLOOKUP(C336,Agents!$A$2:$E$26,5,FALSE),"")</f>
        <v>Gurugram</v>
      </c>
      <c r="R336" s="1">
        <f>IFERROR(VLOOKUP(F336,#REF!,2,FALSE),0)</f>
        <v>0</v>
      </c>
      <c r="S336" s="1" t="str">
        <f t="shared" si="30"/>
        <v>Breached</v>
      </c>
      <c r="T336" s="1" t="str">
        <f t="shared" si="31"/>
        <v>Late</v>
      </c>
      <c r="U336" s="1" t="str">
        <f t="shared" si="32"/>
        <v>2025-01</v>
      </c>
      <c r="V336" s="1" t="str">
        <f t="shared" si="33"/>
        <v>Good</v>
      </c>
      <c r="W336" s="1" t="str">
        <f t="shared" si="34"/>
        <v>Needs Coaching</v>
      </c>
      <c r="X336" s="1" t="str">
        <f t="shared" si="35"/>
        <v>Unique</v>
      </c>
    </row>
    <row r="337" spans="1:24" ht="15" customHeight="1">
      <c r="A337" s="1" t="str">
        <f>'Raw Tickets'!$A$337</f>
        <v>T00336</v>
      </c>
      <c r="B337" s="4">
        <f>'Raw Tickets'!$B$337</f>
        <v>45983</v>
      </c>
      <c r="C337" s="1" t="str">
        <f>'Raw Tickets'!$C$337</f>
        <v>A014</v>
      </c>
      <c r="D337" s="1" t="str">
        <f>'Raw Tickets'!$D$337</f>
        <v>Email</v>
      </c>
      <c r="E337" s="1" t="str">
        <f>'Raw Tickets'!$E$337</f>
        <v>Delivery Delay</v>
      </c>
      <c r="F337" s="1" t="str">
        <f>'Raw Tickets'!$F$337</f>
        <v>Medium</v>
      </c>
      <c r="G337" s="1">
        <f>'Raw Tickets'!$G$337</f>
        <v>11.7</v>
      </c>
      <c r="H337" s="1">
        <f>'Raw Tickets'!$H$337</f>
        <v>18</v>
      </c>
      <c r="I337" s="1">
        <f>'Raw Tickets'!$I$337</f>
        <v>4</v>
      </c>
      <c r="J337" s="6">
        <f>'Raw Tickets'!$J$337</f>
        <v>88.5</v>
      </c>
      <c r="K337" s="1" t="str">
        <f>'Raw Tickets'!$K$337</f>
        <v>Closed</v>
      </c>
      <c r="L337" s="1" t="str">
        <f>'Raw Tickets'!$L$337</f>
        <v>No</v>
      </c>
      <c r="M337" s="1" t="str">
        <f>'Raw Tickets'!$M$337</f>
        <v>No</v>
      </c>
      <c r="N337" s="1" t="str">
        <f>IFERROR(VLOOKUP(C337,Agents!$A$2:$E$26,2,FALSE),"")</f>
        <v>Ananya Jain</v>
      </c>
      <c r="O337" s="1" t="str">
        <f>IFERROR(INDEX(Agents!$D$2:$D$26,MATCH(C337,Agents!$A$2:$A$26,0)),"")</f>
        <v>Chat Support</v>
      </c>
      <c r="P337" s="1" t="str">
        <f>IFERROR(VLOOKUP(C337,Agents!$A$2:$E$26,3,FALSE),"")</f>
        <v>Nitin Gupta</v>
      </c>
      <c r="Q337" s="1" t="str">
        <f>IFERROR(VLOOKUP(C337,Agents!$A$2:$E$26,5,FALSE),"")</f>
        <v>Bengaluru</v>
      </c>
      <c r="R337" s="1">
        <f>IFERROR(VLOOKUP(F337,#REF!,2,FALSE),0)</f>
        <v>0</v>
      </c>
      <c r="S337" s="1" t="str">
        <f t="shared" si="30"/>
        <v>Breached</v>
      </c>
      <c r="T337" s="1" t="str">
        <f t="shared" si="31"/>
        <v>Within Target</v>
      </c>
      <c r="U337" s="1" t="str">
        <f t="shared" si="32"/>
        <v>2025-11</v>
      </c>
      <c r="V337" s="1" t="str">
        <f t="shared" si="33"/>
        <v>Good</v>
      </c>
      <c r="W337" s="1" t="str">
        <f t="shared" si="34"/>
        <v>Pass</v>
      </c>
      <c r="X337" s="1" t="str">
        <f t="shared" si="35"/>
        <v>Unique</v>
      </c>
    </row>
    <row r="338" spans="1:24" ht="15" customHeight="1">
      <c r="A338" s="1" t="str">
        <f>'Raw Tickets'!$A$338</f>
        <v>T00337</v>
      </c>
      <c r="B338" s="4">
        <f>'Raw Tickets'!$B$338</f>
        <v>45956</v>
      </c>
      <c r="C338" s="1" t="str">
        <f>'Raw Tickets'!$C$338</f>
        <v>A001</v>
      </c>
      <c r="D338" s="1" t="str">
        <f>'Raw Tickets'!$D$338</f>
        <v>Chat</v>
      </c>
      <c r="E338" s="1" t="str">
        <f>'Raw Tickets'!$E$338</f>
        <v>Delivery Delay</v>
      </c>
      <c r="F338" s="1" t="str">
        <f>'Raw Tickets'!$F$338</f>
        <v>Medium</v>
      </c>
      <c r="G338" s="1">
        <f>'Raw Tickets'!$G$338</f>
        <v>23.4</v>
      </c>
      <c r="H338" s="1">
        <f>'Raw Tickets'!$H$338</f>
        <v>9</v>
      </c>
      <c r="I338" s="1">
        <f>'Raw Tickets'!$I$338</f>
        <v>4</v>
      </c>
      <c r="J338" s="6">
        <f>'Raw Tickets'!$J$338</f>
        <v>93.8</v>
      </c>
      <c r="K338" s="1" t="str">
        <f>'Raw Tickets'!$K$338</f>
        <v>Closed</v>
      </c>
      <c r="L338" s="1" t="str">
        <f>'Raw Tickets'!$L$338</f>
        <v>No</v>
      </c>
      <c r="M338" s="1" t="str">
        <f>'Raw Tickets'!$M$338</f>
        <v>No</v>
      </c>
      <c r="N338" s="1" t="str">
        <f>IFERROR(VLOOKUP(C338,Agents!$A$2:$E$26,2,FALSE),"")</f>
        <v>Ishita Patel</v>
      </c>
      <c r="O338" s="1" t="str">
        <f>IFERROR(INDEX(Agents!$D$2:$D$26,MATCH(C338,Agents!$A$2:$A$26,0)),"")</f>
        <v>Email Support</v>
      </c>
      <c r="P338" s="1" t="str">
        <f>IFERROR(VLOOKUP(C338,Agents!$A$2:$E$26,3,FALSE),"")</f>
        <v>Aman Verma</v>
      </c>
      <c r="Q338" s="1" t="str">
        <f>IFERROR(VLOOKUP(C338,Agents!$A$2:$E$26,5,FALSE),"")</f>
        <v>Gurugram</v>
      </c>
      <c r="R338" s="1">
        <f>IFERROR(VLOOKUP(F338,#REF!,2,FALSE),0)</f>
        <v>0</v>
      </c>
      <c r="S338" s="1" t="str">
        <f t="shared" si="30"/>
        <v>Breached</v>
      </c>
      <c r="T338" s="1" t="str">
        <f t="shared" si="31"/>
        <v>Within Target</v>
      </c>
      <c r="U338" s="1" t="str">
        <f t="shared" si="32"/>
        <v>2025-10</v>
      </c>
      <c r="V338" s="1" t="str">
        <f t="shared" si="33"/>
        <v>Good</v>
      </c>
      <c r="W338" s="1" t="str">
        <f t="shared" si="34"/>
        <v>Pass</v>
      </c>
      <c r="X338" s="1" t="str">
        <f t="shared" si="35"/>
        <v>Unique</v>
      </c>
    </row>
    <row r="339" spans="1:24" ht="15" customHeight="1">
      <c r="A339" s="1" t="str">
        <f>'Raw Tickets'!$A$339</f>
        <v>T00338</v>
      </c>
      <c r="B339" s="4">
        <f>'Raw Tickets'!$B$339</f>
        <v>45835</v>
      </c>
      <c r="C339" s="1" t="str">
        <f>'Raw Tickets'!$C$339</f>
        <v>A018</v>
      </c>
      <c r="D339" s="1" t="str">
        <f>'Raw Tickets'!$D$339</f>
        <v>Email</v>
      </c>
      <c r="E339" s="1" t="str">
        <f>'Raw Tickets'!$E$339</f>
        <v>Refund</v>
      </c>
      <c r="F339" s="1" t="str">
        <f>'Raw Tickets'!$F$339</f>
        <v>Low</v>
      </c>
      <c r="G339" s="1">
        <f>'Raw Tickets'!$G$339</f>
        <v>0.5</v>
      </c>
      <c r="H339" s="1">
        <f>'Raw Tickets'!$H$339</f>
        <v>31</v>
      </c>
      <c r="I339" s="1">
        <f>'Raw Tickets'!$I$339</f>
        <v>5</v>
      </c>
      <c r="J339" s="6">
        <f>'Raw Tickets'!$J$339</f>
        <v>93.1</v>
      </c>
      <c r="K339" s="1" t="str">
        <f>'Raw Tickets'!$K$339</f>
        <v>Open</v>
      </c>
      <c r="L339" s="1" t="str">
        <f>'Raw Tickets'!$L$339</f>
        <v>No</v>
      </c>
      <c r="M339" s="1" t="str">
        <f>'Raw Tickets'!$M$339</f>
        <v>No</v>
      </c>
      <c r="N339" s="1" t="str">
        <f>IFERROR(VLOOKUP(C339,Agents!$A$2:$E$26,2,FALSE),"")</f>
        <v>Rahul Verma</v>
      </c>
      <c r="O339" s="1" t="str">
        <f>IFERROR(INDEX(Agents!$D$2:$D$26,MATCH(C339,Agents!$A$2:$A$26,0)),"")</f>
        <v>Escalations</v>
      </c>
      <c r="P339" s="1" t="str">
        <f>IFERROR(VLOOKUP(C339,Agents!$A$2:$E$26,3,FALSE),"")</f>
        <v>Pallavi Rao</v>
      </c>
      <c r="Q339" s="1" t="str">
        <f>IFERROR(VLOOKUP(C339,Agents!$A$2:$E$26,5,FALSE),"")</f>
        <v>Hyderabad</v>
      </c>
      <c r="R339" s="1">
        <f>IFERROR(VLOOKUP(F339,#REF!,2,FALSE),0)</f>
        <v>0</v>
      </c>
      <c r="S339" s="1" t="str">
        <f t="shared" si="30"/>
        <v>Breached</v>
      </c>
      <c r="T339" s="1" t="str">
        <f t="shared" si="31"/>
        <v>Late</v>
      </c>
      <c r="U339" s="1" t="str">
        <f t="shared" si="32"/>
        <v>2025-06</v>
      </c>
      <c r="V339" s="1" t="str">
        <f t="shared" si="33"/>
        <v>Good</v>
      </c>
      <c r="W339" s="1" t="str">
        <f t="shared" si="34"/>
        <v>Pass</v>
      </c>
      <c r="X339" s="1" t="str">
        <f t="shared" si="35"/>
        <v>Unique</v>
      </c>
    </row>
    <row r="340" spans="1:24" ht="15" customHeight="1">
      <c r="A340" s="1" t="str">
        <f>'Raw Tickets'!$A$340</f>
        <v>T00339</v>
      </c>
      <c r="B340" s="4">
        <f>'Raw Tickets'!$B$340</f>
        <v>45910</v>
      </c>
      <c r="C340" s="1" t="str">
        <f>'Raw Tickets'!$C$340</f>
        <v>A010</v>
      </c>
      <c r="D340" s="1" t="str">
        <f>'Raw Tickets'!$D$340</f>
        <v>Chat</v>
      </c>
      <c r="E340" s="1" t="str">
        <f>'Raw Tickets'!$E$340</f>
        <v>Refund</v>
      </c>
      <c r="F340" s="1" t="str">
        <f>'Raw Tickets'!$F$340</f>
        <v>Low</v>
      </c>
      <c r="G340" s="1">
        <f>'Raw Tickets'!$G$340</f>
        <v>51.2</v>
      </c>
      <c r="H340" s="1">
        <f>'Raw Tickets'!$H$340</f>
        <v>35</v>
      </c>
      <c r="I340" s="1">
        <f>'Raw Tickets'!$I$340</f>
        <v>5</v>
      </c>
      <c r="J340" s="6">
        <f>'Raw Tickets'!$J$340</f>
        <v>82.3</v>
      </c>
      <c r="K340" s="1" t="str">
        <f>'Raw Tickets'!$K$340</f>
        <v>Closed</v>
      </c>
      <c r="L340" s="1" t="str">
        <f>'Raw Tickets'!$L$340</f>
        <v>No</v>
      </c>
      <c r="M340" s="1" t="str">
        <f>'Raw Tickets'!$M$340</f>
        <v>No</v>
      </c>
      <c r="N340" s="1" t="str">
        <f>IFERROR(VLOOKUP(C340,Agents!$A$2:$E$26,2,FALSE),"")</f>
        <v>Ananya Gupta</v>
      </c>
      <c r="O340" s="1" t="str">
        <f>IFERROR(INDEX(Agents!$D$2:$D$26,MATCH(C340,Agents!$A$2:$A$26,0)),"")</f>
        <v>Voice Support</v>
      </c>
      <c r="P340" s="1" t="str">
        <f>IFERROR(VLOOKUP(C340,Agents!$A$2:$E$26,3,FALSE),"")</f>
        <v>Kritika Shah</v>
      </c>
      <c r="Q340" s="1" t="str">
        <f>IFERROR(VLOOKUP(C340,Agents!$A$2:$E$26,5,FALSE),"")</f>
        <v>Gurugram</v>
      </c>
      <c r="R340" s="1">
        <f>IFERROR(VLOOKUP(F340,#REF!,2,FALSE),0)</f>
        <v>0</v>
      </c>
      <c r="S340" s="1" t="str">
        <f t="shared" si="30"/>
        <v>Breached</v>
      </c>
      <c r="T340" s="1" t="str">
        <f t="shared" si="31"/>
        <v>Late</v>
      </c>
      <c r="U340" s="1" t="str">
        <f t="shared" si="32"/>
        <v>2025-09</v>
      </c>
      <c r="V340" s="1" t="str">
        <f t="shared" si="33"/>
        <v>Good</v>
      </c>
      <c r="W340" s="1" t="str">
        <f t="shared" si="34"/>
        <v>Needs Coaching</v>
      </c>
      <c r="X340" s="1" t="str">
        <f t="shared" si="35"/>
        <v>Unique</v>
      </c>
    </row>
    <row r="341" spans="1:24" ht="15" customHeight="1">
      <c r="A341" s="1" t="str">
        <f>'Raw Tickets'!$A$341</f>
        <v>T00340</v>
      </c>
      <c r="B341" s="4">
        <f>'Raw Tickets'!$B$341</f>
        <v>45823</v>
      </c>
      <c r="C341" s="1" t="str">
        <f>'Raw Tickets'!$C$341</f>
        <v>A006</v>
      </c>
      <c r="D341" s="1" t="str">
        <f>'Raw Tickets'!$D$341</f>
        <v>Email</v>
      </c>
      <c r="E341" s="1" t="str">
        <f>'Raw Tickets'!$E$341</f>
        <v>Payment Failure</v>
      </c>
      <c r="F341" s="1" t="str">
        <f>'Raw Tickets'!$F$341</f>
        <v>Low</v>
      </c>
      <c r="G341" s="1">
        <f>'Raw Tickets'!$G$341</f>
        <v>35.200000000000003</v>
      </c>
      <c r="H341" s="1">
        <f>'Raw Tickets'!$H$341</f>
        <v>46</v>
      </c>
      <c r="I341" s="1">
        <f>'Raw Tickets'!$I$341</f>
        <v>5</v>
      </c>
      <c r="J341" s="6">
        <f>'Raw Tickets'!$J$341</f>
        <v>70.3</v>
      </c>
      <c r="K341" s="1" t="str">
        <f>'Raw Tickets'!$K$341</f>
        <v>Closed</v>
      </c>
      <c r="L341" s="1" t="str">
        <f>'Raw Tickets'!$L$341</f>
        <v>No</v>
      </c>
      <c r="M341" s="1" t="str">
        <f>'Raw Tickets'!$M$341</f>
        <v>No</v>
      </c>
      <c r="N341" s="1" t="str">
        <f>IFERROR(VLOOKUP(C341,Agents!$A$2:$E$26,2,FALSE),"")</f>
        <v>Divya Shah</v>
      </c>
      <c r="O341" s="1" t="str">
        <f>IFERROR(INDEX(Agents!$D$2:$D$26,MATCH(C341,Agents!$A$2:$A$26,0)),"")</f>
        <v>Voice Support</v>
      </c>
      <c r="P341" s="1" t="str">
        <f>IFERROR(VLOOKUP(C341,Agents!$A$2:$E$26,3,FALSE),"")</f>
        <v>Kritika Shah</v>
      </c>
      <c r="Q341" s="1" t="str">
        <f>IFERROR(VLOOKUP(C341,Agents!$A$2:$E$26,5,FALSE),"")</f>
        <v>Gurugram</v>
      </c>
      <c r="R341" s="1">
        <f>IFERROR(VLOOKUP(F341,#REF!,2,FALSE),0)</f>
        <v>0</v>
      </c>
      <c r="S341" s="1" t="str">
        <f t="shared" si="30"/>
        <v>Breached</v>
      </c>
      <c r="T341" s="1" t="str">
        <f t="shared" si="31"/>
        <v>Late</v>
      </c>
      <c r="U341" s="1" t="str">
        <f t="shared" si="32"/>
        <v>2025-06</v>
      </c>
      <c r="V341" s="1" t="str">
        <f t="shared" si="33"/>
        <v>Good</v>
      </c>
      <c r="W341" s="1" t="str">
        <f t="shared" si="34"/>
        <v>Needs Coaching</v>
      </c>
      <c r="X341" s="1" t="str">
        <f t="shared" si="35"/>
        <v>Unique</v>
      </c>
    </row>
    <row r="342" spans="1:24" ht="15" customHeight="1">
      <c r="A342" s="1" t="str">
        <f>'Raw Tickets'!$A$342</f>
        <v>T00341</v>
      </c>
      <c r="B342" s="4">
        <f>'Raw Tickets'!$B$342</f>
        <v>45744</v>
      </c>
      <c r="C342" s="1" t="str">
        <f>'Raw Tickets'!$C$342</f>
        <v>A001</v>
      </c>
      <c r="D342" s="1" t="str">
        <f>'Raw Tickets'!$D$342</f>
        <v>Call</v>
      </c>
      <c r="E342" s="1" t="str">
        <f>'Raw Tickets'!$E$342</f>
        <v>Product Quality</v>
      </c>
      <c r="F342" s="1" t="str">
        <f>'Raw Tickets'!$F$342</f>
        <v>Medium</v>
      </c>
      <c r="G342" s="1">
        <f>'Raw Tickets'!$G$342</f>
        <v>28.4</v>
      </c>
      <c r="H342" s="1">
        <f>'Raw Tickets'!$H$342</f>
        <v>30</v>
      </c>
      <c r="I342" s="1">
        <f>'Raw Tickets'!$I$342</f>
        <v>3</v>
      </c>
      <c r="J342" s="6">
        <f>'Raw Tickets'!$J$342</f>
        <v>96.7</v>
      </c>
      <c r="K342" s="1" t="str">
        <f>'Raw Tickets'!$K$342</f>
        <v>Closed</v>
      </c>
      <c r="L342" s="1" t="str">
        <f>'Raw Tickets'!$L$342</f>
        <v>No</v>
      </c>
      <c r="M342" s="1" t="str">
        <f>'Raw Tickets'!$M$342</f>
        <v>No</v>
      </c>
      <c r="N342" s="1" t="str">
        <f>IFERROR(VLOOKUP(C342,Agents!$A$2:$E$26,2,FALSE),"")</f>
        <v>Ishita Patel</v>
      </c>
      <c r="O342" s="1" t="str">
        <f>IFERROR(INDEX(Agents!$D$2:$D$26,MATCH(C342,Agents!$A$2:$A$26,0)),"")</f>
        <v>Email Support</v>
      </c>
      <c r="P342" s="1" t="str">
        <f>IFERROR(VLOOKUP(C342,Agents!$A$2:$E$26,3,FALSE),"")</f>
        <v>Aman Verma</v>
      </c>
      <c r="Q342" s="1" t="str">
        <f>IFERROR(VLOOKUP(C342,Agents!$A$2:$E$26,5,FALSE),"")</f>
        <v>Gurugram</v>
      </c>
      <c r="R342" s="1">
        <f>IFERROR(VLOOKUP(F342,#REF!,2,FALSE),0)</f>
        <v>0</v>
      </c>
      <c r="S342" s="1" t="str">
        <f t="shared" si="30"/>
        <v>Breached</v>
      </c>
      <c r="T342" s="1" t="str">
        <f t="shared" si="31"/>
        <v>Within Target</v>
      </c>
      <c r="U342" s="1" t="str">
        <f t="shared" si="32"/>
        <v>2025-03</v>
      </c>
      <c r="V342" s="1" t="str">
        <f t="shared" si="33"/>
        <v>Average</v>
      </c>
      <c r="W342" s="1" t="str">
        <f t="shared" si="34"/>
        <v>Pass</v>
      </c>
      <c r="X342" s="1" t="str">
        <f t="shared" si="35"/>
        <v>Unique</v>
      </c>
    </row>
    <row r="343" spans="1:24" ht="15" customHeight="1">
      <c r="A343" s="1" t="str">
        <f>'Raw Tickets'!$A$343</f>
        <v>T00342</v>
      </c>
      <c r="B343" s="4">
        <f>'Raw Tickets'!$B$343</f>
        <v>45737</v>
      </c>
      <c r="C343" s="1" t="str">
        <f>'Raw Tickets'!$C$343</f>
        <v>A017</v>
      </c>
      <c r="D343" s="1" t="str">
        <f>'Raw Tickets'!$D$343</f>
        <v>Chat</v>
      </c>
      <c r="E343" s="1" t="str">
        <f>'Raw Tickets'!$E$343</f>
        <v>Account Issue</v>
      </c>
      <c r="F343" s="1" t="str">
        <f>'Raw Tickets'!$F$343</f>
        <v>Critical</v>
      </c>
      <c r="G343" s="1">
        <f>'Raw Tickets'!$G$343</f>
        <v>4.5999999999999996</v>
      </c>
      <c r="H343" s="1">
        <f>'Raw Tickets'!$H$343</f>
        <v>25</v>
      </c>
      <c r="I343" s="1">
        <f>'Raw Tickets'!$I$343</f>
        <v>4</v>
      </c>
      <c r="J343" s="6">
        <f>'Raw Tickets'!$J$343</f>
        <v>83</v>
      </c>
      <c r="K343" s="1" t="str">
        <f>'Raw Tickets'!$K$343</f>
        <v>Closed</v>
      </c>
      <c r="L343" s="1" t="str">
        <f>'Raw Tickets'!$L$343</f>
        <v>No</v>
      </c>
      <c r="M343" s="1" t="str">
        <f>'Raw Tickets'!$M$343</f>
        <v>Yes</v>
      </c>
      <c r="N343" s="1" t="str">
        <f>IFERROR(VLOOKUP(C343,Agents!$A$2:$E$26,2,FALSE),"")</f>
        <v>Varun Mehta</v>
      </c>
      <c r="O343" s="1" t="str">
        <f>IFERROR(INDEX(Agents!$D$2:$D$26,MATCH(C343,Agents!$A$2:$A$26,0)),"")</f>
        <v>Escalations</v>
      </c>
      <c r="P343" s="1" t="str">
        <f>IFERROR(VLOOKUP(C343,Agents!$A$2:$E$26,3,FALSE),"")</f>
        <v>Pallavi Rao</v>
      </c>
      <c r="Q343" s="1" t="str">
        <f>IFERROR(VLOOKUP(C343,Agents!$A$2:$E$26,5,FALSE),"")</f>
        <v>Gurugram</v>
      </c>
      <c r="R343" s="1">
        <f>IFERROR(VLOOKUP(F343,#REF!,2,FALSE),0)</f>
        <v>0</v>
      </c>
      <c r="S343" s="1" t="str">
        <f t="shared" si="30"/>
        <v>Breached</v>
      </c>
      <c r="T343" s="1" t="str">
        <f t="shared" si="31"/>
        <v>Within Target</v>
      </c>
      <c r="U343" s="1" t="str">
        <f t="shared" si="32"/>
        <v>2025-03</v>
      </c>
      <c r="V343" s="1" t="str">
        <f t="shared" si="33"/>
        <v>Good</v>
      </c>
      <c r="W343" s="1" t="str">
        <f t="shared" si="34"/>
        <v>Needs Coaching</v>
      </c>
      <c r="X343" s="1" t="str">
        <f t="shared" si="35"/>
        <v>Unique</v>
      </c>
    </row>
    <row r="344" spans="1:24" ht="15" customHeight="1">
      <c r="A344" s="1" t="str">
        <f>'Raw Tickets'!$A$344</f>
        <v>T00343</v>
      </c>
      <c r="B344" s="4">
        <f>'Raw Tickets'!$B$344</f>
        <v>45897</v>
      </c>
      <c r="C344" s="1" t="str">
        <f>'Raw Tickets'!$C$344</f>
        <v>A010</v>
      </c>
      <c r="D344" s="1" t="str">
        <f>'Raw Tickets'!$D$344</f>
        <v>Email</v>
      </c>
      <c r="E344" s="1" t="str">
        <f>'Raw Tickets'!$E$344</f>
        <v>Account Issue</v>
      </c>
      <c r="F344" s="1" t="str">
        <f>'Raw Tickets'!$F$344</f>
        <v>Low</v>
      </c>
      <c r="G344" s="1">
        <f>'Raw Tickets'!$G$344</f>
        <v>44.4</v>
      </c>
      <c r="H344" s="1">
        <f>'Raw Tickets'!$H$344</f>
        <v>51</v>
      </c>
      <c r="I344" s="1">
        <f>'Raw Tickets'!$I$344</f>
        <v>4</v>
      </c>
      <c r="J344" s="6">
        <f>'Raw Tickets'!$J$344</f>
        <v>72.099999999999994</v>
      </c>
      <c r="K344" s="1" t="str">
        <f>'Raw Tickets'!$K$344</f>
        <v>Closed</v>
      </c>
      <c r="L344" s="1" t="str">
        <f>'Raw Tickets'!$L$344</f>
        <v>No</v>
      </c>
      <c r="M344" s="1" t="str">
        <f>'Raw Tickets'!$M$344</f>
        <v>No</v>
      </c>
      <c r="N344" s="1" t="str">
        <f>IFERROR(VLOOKUP(C344,Agents!$A$2:$E$26,2,FALSE),"")</f>
        <v>Ananya Gupta</v>
      </c>
      <c r="O344" s="1" t="str">
        <f>IFERROR(INDEX(Agents!$D$2:$D$26,MATCH(C344,Agents!$A$2:$A$26,0)),"")</f>
        <v>Voice Support</v>
      </c>
      <c r="P344" s="1" t="str">
        <f>IFERROR(VLOOKUP(C344,Agents!$A$2:$E$26,3,FALSE),"")</f>
        <v>Kritika Shah</v>
      </c>
      <c r="Q344" s="1" t="str">
        <f>IFERROR(VLOOKUP(C344,Agents!$A$2:$E$26,5,FALSE),"")</f>
        <v>Gurugram</v>
      </c>
      <c r="R344" s="1">
        <f>IFERROR(VLOOKUP(F344,#REF!,2,FALSE),0)</f>
        <v>0</v>
      </c>
      <c r="S344" s="1" t="str">
        <f t="shared" si="30"/>
        <v>Breached</v>
      </c>
      <c r="T344" s="1" t="str">
        <f t="shared" si="31"/>
        <v>Late</v>
      </c>
      <c r="U344" s="1" t="str">
        <f t="shared" si="32"/>
        <v>2025-08</v>
      </c>
      <c r="V344" s="1" t="str">
        <f t="shared" si="33"/>
        <v>Good</v>
      </c>
      <c r="W344" s="1" t="str">
        <f t="shared" si="34"/>
        <v>Needs Coaching</v>
      </c>
      <c r="X344" s="1" t="str">
        <f t="shared" si="35"/>
        <v>Unique</v>
      </c>
    </row>
    <row r="345" spans="1:24" ht="15" customHeight="1">
      <c r="A345" s="1" t="str">
        <f>'Raw Tickets'!$A$345</f>
        <v>T00344</v>
      </c>
      <c r="B345" s="4">
        <f>'Raw Tickets'!$B$345</f>
        <v>45993</v>
      </c>
      <c r="C345" s="1" t="str">
        <f>'Raw Tickets'!$C$345</f>
        <v>A014</v>
      </c>
      <c r="D345" s="1" t="str">
        <f>'Raw Tickets'!$D$345</f>
        <v>Chat</v>
      </c>
      <c r="E345" s="1" t="str">
        <f>'Raw Tickets'!$E$345</f>
        <v>Delivery Delay</v>
      </c>
      <c r="F345" s="1" t="str">
        <f>'Raw Tickets'!$F$345</f>
        <v>Low</v>
      </c>
      <c r="G345" s="1">
        <f>'Raw Tickets'!$G$345</f>
        <v>57.5</v>
      </c>
      <c r="H345" s="1">
        <f>'Raw Tickets'!$H$345</f>
        <v>54</v>
      </c>
      <c r="I345" s="1">
        <f>'Raw Tickets'!$I$345</f>
        <v>5</v>
      </c>
      <c r="J345" s="6">
        <f>'Raw Tickets'!$J$345</f>
        <v>91.2</v>
      </c>
      <c r="K345" s="1" t="str">
        <f>'Raw Tickets'!$K$345</f>
        <v>Closed</v>
      </c>
      <c r="L345" s="1" t="str">
        <f>'Raw Tickets'!$L$345</f>
        <v>No</v>
      </c>
      <c r="M345" s="1" t="str">
        <f>'Raw Tickets'!$M$345</f>
        <v>No</v>
      </c>
      <c r="N345" s="1" t="str">
        <f>IFERROR(VLOOKUP(C345,Agents!$A$2:$E$26,2,FALSE),"")</f>
        <v>Ananya Jain</v>
      </c>
      <c r="O345" s="1" t="str">
        <f>IFERROR(INDEX(Agents!$D$2:$D$26,MATCH(C345,Agents!$A$2:$A$26,0)),"")</f>
        <v>Chat Support</v>
      </c>
      <c r="P345" s="1" t="str">
        <f>IFERROR(VLOOKUP(C345,Agents!$A$2:$E$26,3,FALSE),"")</f>
        <v>Nitin Gupta</v>
      </c>
      <c r="Q345" s="1" t="str">
        <f>IFERROR(VLOOKUP(C345,Agents!$A$2:$E$26,5,FALSE),"")</f>
        <v>Bengaluru</v>
      </c>
      <c r="R345" s="1">
        <f>IFERROR(VLOOKUP(F345,#REF!,2,FALSE),0)</f>
        <v>0</v>
      </c>
      <c r="S345" s="1" t="str">
        <f t="shared" si="30"/>
        <v>Breached</v>
      </c>
      <c r="T345" s="1" t="str">
        <f t="shared" si="31"/>
        <v>Late</v>
      </c>
      <c r="U345" s="1" t="str">
        <f t="shared" si="32"/>
        <v>2025-12</v>
      </c>
      <c r="V345" s="1" t="str">
        <f t="shared" si="33"/>
        <v>Good</v>
      </c>
      <c r="W345" s="1" t="str">
        <f t="shared" si="34"/>
        <v>Pass</v>
      </c>
      <c r="X345" s="1" t="str">
        <f t="shared" si="35"/>
        <v>Unique</v>
      </c>
    </row>
    <row r="346" spans="1:24" ht="15" customHeight="1">
      <c r="A346" s="1" t="str">
        <f>'Raw Tickets'!$A$346</f>
        <v>T00345</v>
      </c>
      <c r="B346" s="4">
        <f>'Raw Tickets'!$B$346</f>
        <v>45752</v>
      </c>
      <c r="C346" s="1" t="str">
        <f>'Raw Tickets'!$C$346</f>
        <v>A010</v>
      </c>
      <c r="D346" s="1" t="str">
        <f>'Raw Tickets'!$D$346</f>
        <v>Chat</v>
      </c>
      <c r="E346" s="1" t="str">
        <f>'Raw Tickets'!$E$346</f>
        <v>Product Quality</v>
      </c>
      <c r="F346" s="1" t="str">
        <f>'Raw Tickets'!$F$346</f>
        <v>Low</v>
      </c>
      <c r="G346" s="1">
        <f>'Raw Tickets'!$G$346</f>
        <v>34</v>
      </c>
      <c r="H346" s="1">
        <f>'Raw Tickets'!$H$346</f>
        <v>53</v>
      </c>
      <c r="I346" s="1">
        <f>'Raw Tickets'!$I$346</f>
        <v>4</v>
      </c>
      <c r="J346" s="6">
        <f>'Raw Tickets'!$J$346</f>
        <v>82.2</v>
      </c>
      <c r="K346" s="1" t="str">
        <f>'Raw Tickets'!$K$346</f>
        <v>Closed</v>
      </c>
      <c r="L346" s="1" t="str">
        <f>'Raw Tickets'!$L$346</f>
        <v>No</v>
      </c>
      <c r="M346" s="1" t="str">
        <f>'Raw Tickets'!$M$346</f>
        <v>No</v>
      </c>
      <c r="N346" s="1" t="str">
        <f>IFERROR(VLOOKUP(C346,Agents!$A$2:$E$26,2,FALSE),"")</f>
        <v>Ananya Gupta</v>
      </c>
      <c r="O346" s="1" t="str">
        <f>IFERROR(INDEX(Agents!$D$2:$D$26,MATCH(C346,Agents!$A$2:$A$26,0)),"")</f>
        <v>Voice Support</v>
      </c>
      <c r="P346" s="1" t="str">
        <f>IFERROR(VLOOKUP(C346,Agents!$A$2:$E$26,3,FALSE),"")</f>
        <v>Kritika Shah</v>
      </c>
      <c r="Q346" s="1" t="str">
        <f>IFERROR(VLOOKUP(C346,Agents!$A$2:$E$26,5,FALSE),"")</f>
        <v>Gurugram</v>
      </c>
      <c r="R346" s="1">
        <f>IFERROR(VLOOKUP(F346,#REF!,2,FALSE),0)</f>
        <v>0</v>
      </c>
      <c r="S346" s="1" t="str">
        <f t="shared" si="30"/>
        <v>Breached</v>
      </c>
      <c r="T346" s="1" t="str">
        <f t="shared" si="31"/>
        <v>Late</v>
      </c>
      <c r="U346" s="1" t="str">
        <f t="shared" si="32"/>
        <v>2025-04</v>
      </c>
      <c r="V346" s="1" t="str">
        <f t="shared" si="33"/>
        <v>Good</v>
      </c>
      <c r="W346" s="1" t="str">
        <f t="shared" si="34"/>
        <v>Needs Coaching</v>
      </c>
      <c r="X346" s="1" t="str">
        <f t="shared" si="35"/>
        <v>Unique</v>
      </c>
    </row>
    <row r="347" spans="1:24" ht="15" customHeight="1">
      <c r="A347" s="1" t="str">
        <f>'Raw Tickets'!$A$347</f>
        <v>T00346</v>
      </c>
      <c r="B347" s="4">
        <f>'Raw Tickets'!$B$347</f>
        <v>45678</v>
      </c>
      <c r="C347" s="1" t="str">
        <f>'Raw Tickets'!$C$347</f>
        <v>A016</v>
      </c>
      <c r="D347" s="1" t="str">
        <f>'Raw Tickets'!$D$347</f>
        <v>Email</v>
      </c>
      <c r="E347" s="1" t="str">
        <f>'Raw Tickets'!$E$347</f>
        <v>Delivery Delay</v>
      </c>
      <c r="F347" s="1" t="str">
        <f>'Raw Tickets'!$F$347</f>
        <v>High</v>
      </c>
      <c r="G347" s="1">
        <f>'Raw Tickets'!$G$347</f>
        <v>9.5</v>
      </c>
      <c r="H347" s="1">
        <f>'Raw Tickets'!$H$347</f>
        <v>1</v>
      </c>
      <c r="I347" s="1">
        <f>'Raw Tickets'!$I$347</f>
        <v>3</v>
      </c>
      <c r="J347" s="6">
        <f>'Raw Tickets'!$J$347</f>
        <v>100</v>
      </c>
      <c r="K347" s="1" t="str">
        <f>'Raw Tickets'!$K$347</f>
        <v>Closed</v>
      </c>
      <c r="L347" s="1" t="str">
        <f>'Raw Tickets'!$L$347</f>
        <v>No</v>
      </c>
      <c r="M347" s="1" t="str">
        <f>'Raw Tickets'!$M$347</f>
        <v>Yes</v>
      </c>
      <c r="N347" s="1" t="str">
        <f>IFERROR(VLOOKUP(C347,Agents!$A$2:$E$26,2,FALSE),"")</f>
        <v>Pooja Bansal</v>
      </c>
      <c r="O347" s="1" t="str">
        <f>IFERROR(INDEX(Agents!$D$2:$D$26,MATCH(C347,Agents!$A$2:$A$26,0)),"")</f>
        <v>Escalations</v>
      </c>
      <c r="P347" s="1" t="str">
        <f>IFERROR(VLOOKUP(C347,Agents!$A$2:$E$26,3,FALSE),"")</f>
        <v>Pallavi Rao</v>
      </c>
      <c r="Q347" s="1" t="str">
        <f>IFERROR(VLOOKUP(C347,Agents!$A$2:$E$26,5,FALSE),"")</f>
        <v>Hyderabad</v>
      </c>
      <c r="R347" s="1">
        <f>IFERROR(VLOOKUP(F347,#REF!,2,FALSE),0)</f>
        <v>0</v>
      </c>
      <c r="S347" s="1" t="str">
        <f t="shared" si="30"/>
        <v>Breached</v>
      </c>
      <c r="T347" s="1" t="str">
        <f t="shared" si="31"/>
        <v>Within Target</v>
      </c>
      <c r="U347" s="1" t="str">
        <f t="shared" si="32"/>
        <v>2025-01</v>
      </c>
      <c r="V347" s="1" t="str">
        <f t="shared" si="33"/>
        <v>Average</v>
      </c>
      <c r="W347" s="1" t="str">
        <f t="shared" si="34"/>
        <v>Pass</v>
      </c>
      <c r="X347" s="1" t="str">
        <f t="shared" si="35"/>
        <v>Unique</v>
      </c>
    </row>
    <row r="348" spans="1:24" ht="15" customHeight="1">
      <c r="A348" s="1" t="str">
        <f>'Raw Tickets'!$A$348</f>
        <v>T00347</v>
      </c>
      <c r="B348" s="4">
        <f>'Raw Tickets'!$B$348</f>
        <v>45678</v>
      </c>
      <c r="C348" s="1" t="str">
        <f>'Raw Tickets'!$C$348</f>
        <v>A002</v>
      </c>
      <c r="D348" s="1" t="str">
        <f>'Raw Tickets'!$D$348</f>
        <v>Chat</v>
      </c>
      <c r="E348" s="1" t="str">
        <f>'Raw Tickets'!$E$348</f>
        <v>Account Issue</v>
      </c>
      <c r="F348" s="1" t="str">
        <f>'Raw Tickets'!$F$348</f>
        <v>Critical</v>
      </c>
      <c r="G348" s="1">
        <f>'Raw Tickets'!$G$348</f>
        <v>4.8</v>
      </c>
      <c r="H348" s="1">
        <f>'Raw Tickets'!$H$348</f>
        <v>17</v>
      </c>
      <c r="I348" s="1">
        <f>'Raw Tickets'!$I$348</f>
        <v>5</v>
      </c>
      <c r="J348" s="6">
        <f>'Raw Tickets'!$J$348</f>
        <v>86.9</v>
      </c>
      <c r="K348" s="1" t="str">
        <f>'Raw Tickets'!$K$348</f>
        <v>Closed</v>
      </c>
      <c r="L348" s="1" t="str">
        <f>'Raw Tickets'!$L$348</f>
        <v>No</v>
      </c>
      <c r="M348" s="1" t="str">
        <f>'Raw Tickets'!$M$348</f>
        <v>Yes</v>
      </c>
      <c r="N348" s="1" t="str">
        <f>IFERROR(VLOOKUP(C348,Agents!$A$2:$E$26,2,FALSE),"")</f>
        <v>Gaurav Khan</v>
      </c>
      <c r="O348" s="1" t="str">
        <f>IFERROR(INDEX(Agents!$D$2:$D$26,MATCH(C348,Agents!$A$2:$A$26,0)),"")</f>
        <v>Email Support</v>
      </c>
      <c r="P348" s="1" t="str">
        <f>IFERROR(VLOOKUP(C348,Agents!$A$2:$E$26,3,FALSE),"")</f>
        <v>Aman Verma</v>
      </c>
      <c r="Q348" s="1" t="str">
        <f>IFERROR(VLOOKUP(C348,Agents!$A$2:$E$26,5,FALSE),"")</f>
        <v>Noida</v>
      </c>
      <c r="R348" s="1">
        <f>IFERROR(VLOOKUP(F348,#REF!,2,FALSE),0)</f>
        <v>0</v>
      </c>
      <c r="S348" s="1" t="str">
        <f t="shared" si="30"/>
        <v>Breached</v>
      </c>
      <c r="T348" s="1" t="str">
        <f t="shared" si="31"/>
        <v>Within Target</v>
      </c>
      <c r="U348" s="1" t="str">
        <f t="shared" si="32"/>
        <v>2025-01</v>
      </c>
      <c r="V348" s="1" t="str">
        <f t="shared" si="33"/>
        <v>Good</v>
      </c>
      <c r="W348" s="1" t="str">
        <f t="shared" si="34"/>
        <v>Pass</v>
      </c>
      <c r="X348" s="1" t="str">
        <f t="shared" si="35"/>
        <v>Unique</v>
      </c>
    </row>
    <row r="349" spans="1:24" ht="15" customHeight="1">
      <c r="A349" s="1" t="str">
        <f>'Raw Tickets'!$A$349</f>
        <v>T00348</v>
      </c>
      <c r="B349" s="4">
        <f>'Raw Tickets'!$B$349</f>
        <v>45936</v>
      </c>
      <c r="C349" s="1" t="str">
        <f>'Raw Tickets'!$C$349</f>
        <v>A023</v>
      </c>
      <c r="D349" s="1" t="str">
        <f>'Raw Tickets'!$D$349</f>
        <v>Email</v>
      </c>
      <c r="E349" s="1" t="str">
        <f>'Raw Tickets'!$E$349</f>
        <v>Account Issue</v>
      </c>
      <c r="F349" s="1" t="str">
        <f>'Raw Tickets'!$F$349</f>
        <v>Critical</v>
      </c>
      <c r="G349" s="1">
        <f>'Raw Tickets'!$G$349</f>
        <v>0.5</v>
      </c>
      <c r="H349" s="1">
        <f>'Raw Tickets'!$H$349</f>
        <v>33</v>
      </c>
      <c r="I349" s="1">
        <f>'Raw Tickets'!$I$349</f>
        <v>5</v>
      </c>
      <c r="J349" s="6">
        <f>'Raw Tickets'!$J$349</f>
        <v>91.7</v>
      </c>
      <c r="K349" s="1" t="str">
        <f>'Raw Tickets'!$K$349</f>
        <v>Closed</v>
      </c>
      <c r="L349" s="1" t="str">
        <f>'Raw Tickets'!$L$349</f>
        <v>No</v>
      </c>
      <c r="M349" s="1" t="str">
        <f>'Raw Tickets'!$M$349</f>
        <v>No</v>
      </c>
      <c r="N349" s="1" t="str">
        <f>IFERROR(VLOOKUP(C349,Agents!$A$2:$E$26,2,FALSE),"")</f>
        <v>Ishita Verma</v>
      </c>
      <c r="O349" s="1" t="str">
        <f>IFERROR(INDEX(Agents!$D$2:$D$26,MATCH(C349,Agents!$A$2:$A$26,0)),"")</f>
        <v>Seller Support</v>
      </c>
      <c r="P349" s="1" t="str">
        <f>IFERROR(VLOOKUP(C349,Agents!$A$2:$E$26,3,FALSE),"")</f>
        <v>Vivek Jain</v>
      </c>
      <c r="Q349" s="1" t="str">
        <f>IFERROR(VLOOKUP(C349,Agents!$A$2:$E$26,5,FALSE),"")</f>
        <v>Noida</v>
      </c>
      <c r="R349" s="1">
        <f>IFERROR(VLOOKUP(F349,#REF!,2,FALSE),0)</f>
        <v>0</v>
      </c>
      <c r="S349" s="1" t="str">
        <f t="shared" si="30"/>
        <v>Breached</v>
      </c>
      <c r="T349" s="1" t="str">
        <f t="shared" si="31"/>
        <v>Late</v>
      </c>
      <c r="U349" s="1" t="str">
        <f t="shared" si="32"/>
        <v>2025-10</v>
      </c>
      <c r="V349" s="1" t="str">
        <f t="shared" si="33"/>
        <v>Good</v>
      </c>
      <c r="W349" s="1" t="str">
        <f t="shared" si="34"/>
        <v>Pass</v>
      </c>
      <c r="X349" s="1" t="str">
        <f t="shared" si="35"/>
        <v>Unique</v>
      </c>
    </row>
    <row r="350" spans="1:24" ht="15" customHeight="1">
      <c r="A350" s="1" t="str">
        <f>'Raw Tickets'!$A$350</f>
        <v>T00349</v>
      </c>
      <c r="B350" s="4">
        <f>'Raw Tickets'!$B$350</f>
        <v>45792</v>
      </c>
      <c r="C350" s="1" t="str">
        <f>'Raw Tickets'!$C$350</f>
        <v>A021</v>
      </c>
      <c r="D350" s="1" t="str">
        <f>'Raw Tickets'!$D$350</f>
        <v>Chat</v>
      </c>
      <c r="E350" s="1" t="str">
        <f>'Raw Tickets'!$E$350</f>
        <v>Product Quality</v>
      </c>
      <c r="F350" s="1" t="str">
        <f>'Raw Tickets'!$F$350</f>
        <v>Low</v>
      </c>
      <c r="G350" s="1">
        <f>'Raw Tickets'!$G$350</f>
        <v>61</v>
      </c>
      <c r="H350" s="1">
        <f>'Raw Tickets'!$H$350</f>
        <v>48</v>
      </c>
      <c r="I350" s="1">
        <f>'Raw Tickets'!$I$350</f>
        <v>4</v>
      </c>
      <c r="J350" s="6">
        <f>'Raw Tickets'!$J$350</f>
        <v>89.7</v>
      </c>
      <c r="K350" s="1" t="str">
        <f>'Raw Tickets'!$K$350</f>
        <v>Closed</v>
      </c>
      <c r="L350" s="1" t="str">
        <f>'Raw Tickets'!$L$350</f>
        <v>No</v>
      </c>
      <c r="M350" s="1" t="str">
        <f>'Raw Tickets'!$M$350</f>
        <v>No</v>
      </c>
      <c r="N350" s="1" t="str">
        <f>IFERROR(VLOOKUP(C350,Agents!$A$2:$E$26,2,FALSE),"")</f>
        <v>Nikhil Bansal</v>
      </c>
      <c r="O350" s="1" t="str">
        <f>IFERROR(INDEX(Agents!$D$2:$D$26,MATCH(C350,Agents!$A$2:$A$26,0)),"")</f>
        <v>Seller Support</v>
      </c>
      <c r="P350" s="1" t="str">
        <f>IFERROR(VLOOKUP(C350,Agents!$A$2:$E$26,3,FALSE),"")</f>
        <v>Vivek Jain</v>
      </c>
      <c r="Q350" s="1" t="str">
        <f>IFERROR(VLOOKUP(C350,Agents!$A$2:$E$26,5,FALSE),"")</f>
        <v>Bengaluru</v>
      </c>
      <c r="R350" s="1">
        <f>IFERROR(VLOOKUP(F350,#REF!,2,FALSE),0)</f>
        <v>0</v>
      </c>
      <c r="S350" s="1" t="str">
        <f t="shared" si="30"/>
        <v>Breached</v>
      </c>
      <c r="T350" s="1" t="str">
        <f t="shared" si="31"/>
        <v>Late</v>
      </c>
      <c r="U350" s="1" t="str">
        <f t="shared" si="32"/>
        <v>2025-05</v>
      </c>
      <c r="V350" s="1" t="str">
        <f t="shared" si="33"/>
        <v>Good</v>
      </c>
      <c r="W350" s="1" t="str">
        <f t="shared" si="34"/>
        <v>Pass</v>
      </c>
      <c r="X350" s="1" t="str">
        <f t="shared" si="35"/>
        <v>Unique</v>
      </c>
    </row>
    <row r="351" spans="1:24" ht="15" customHeight="1">
      <c r="A351" s="1" t="str">
        <f>'Raw Tickets'!$A$351</f>
        <v>T00350</v>
      </c>
      <c r="B351" s="4">
        <f>'Raw Tickets'!$B$351</f>
        <v>45724</v>
      </c>
      <c r="C351" s="1" t="str">
        <f>'Raw Tickets'!$C$351</f>
        <v>A012</v>
      </c>
      <c r="D351" s="1" t="str">
        <f>'Raw Tickets'!$D$351</f>
        <v>Call</v>
      </c>
      <c r="E351" s="1" t="str">
        <f>'Raw Tickets'!$E$351</f>
        <v>Order Cancellation</v>
      </c>
      <c r="F351" s="1" t="str">
        <f>'Raw Tickets'!$F$351</f>
        <v>Critical</v>
      </c>
      <c r="G351" s="1">
        <f>'Raw Tickets'!$G$351</f>
        <v>5.5</v>
      </c>
      <c r="H351" s="1">
        <f>'Raw Tickets'!$H$351</f>
        <v>10</v>
      </c>
      <c r="I351" s="1">
        <f>'Raw Tickets'!$I$351</f>
        <v>5</v>
      </c>
      <c r="J351" s="6">
        <f>'Raw Tickets'!$J$351</f>
        <v>80.8</v>
      </c>
      <c r="K351" s="1" t="str">
        <f>'Raw Tickets'!$K$351</f>
        <v>Closed</v>
      </c>
      <c r="L351" s="1" t="str">
        <f>'Raw Tickets'!$L$351</f>
        <v>No</v>
      </c>
      <c r="M351" s="1" t="str">
        <f>'Raw Tickets'!$M$351</f>
        <v>Yes</v>
      </c>
      <c r="N351" s="1" t="str">
        <f>IFERROR(VLOOKUP(C351,Agents!$A$2:$E$26,2,FALSE),"")</f>
        <v>Ankit Khan</v>
      </c>
      <c r="O351" s="1" t="str">
        <f>IFERROR(INDEX(Agents!$D$2:$D$26,MATCH(C351,Agents!$A$2:$A$26,0)),"")</f>
        <v>Chat Support</v>
      </c>
      <c r="P351" s="1" t="str">
        <f>IFERROR(VLOOKUP(C351,Agents!$A$2:$E$26,3,FALSE),"")</f>
        <v>Nitin Gupta</v>
      </c>
      <c r="Q351" s="1" t="str">
        <f>IFERROR(VLOOKUP(C351,Agents!$A$2:$E$26,5,FALSE),"")</f>
        <v>Bengaluru</v>
      </c>
      <c r="R351" s="1">
        <f>IFERROR(VLOOKUP(F351,#REF!,2,FALSE),0)</f>
        <v>0</v>
      </c>
      <c r="S351" s="1" t="str">
        <f t="shared" si="30"/>
        <v>Breached</v>
      </c>
      <c r="T351" s="1" t="str">
        <f t="shared" si="31"/>
        <v>Within Target</v>
      </c>
      <c r="U351" s="1" t="str">
        <f t="shared" si="32"/>
        <v>2025-03</v>
      </c>
      <c r="V351" s="1" t="str">
        <f t="shared" si="33"/>
        <v>Good</v>
      </c>
      <c r="W351" s="1" t="str">
        <f t="shared" si="34"/>
        <v>Needs Coaching</v>
      </c>
      <c r="X351" s="1" t="str">
        <f t="shared" si="35"/>
        <v>Unique</v>
      </c>
    </row>
    <row r="352" spans="1:24" ht="15" customHeight="1">
      <c r="A352" s="1" t="str">
        <f>'Raw Tickets'!$A$352</f>
        <v>T00351</v>
      </c>
      <c r="B352" s="4">
        <f>'Raw Tickets'!$B$352</f>
        <v>45960</v>
      </c>
      <c r="C352" s="1" t="str">
        <f>'Raw Tickets'!$C$352</f>
        <v>A021</v>
      </c>
      <c r="D352" s="1" t="str">
        <f>'Raw Tickets'!$D$352</f>
        <v>Chat</v>
      </c>
      <c r="E352" s="1" t="str">
        <f>'Raw Tickets'!$E$352</f>
        <v>Order Cancellation</v>
      </c>
      <c r="F352" s="1" t="str">
        <f>'Raw Tickets'!$F$352</f>
        <v>Medium</v>
      </c>
      <c r="G352" s="1">
        <f>'Raw Tickets'!$G$352</f>
        <v>13</v>
      </c>
      <c r="H352" s="1">
        <f>'Raw Tickets'!$H$352</f>
        <v>61</v>
      </c>
      <c r="I352" s="1">
        <f>'Raw Tickets'!$I$352</f>
        <v>5</v>
      </c>
      <c r="J352" s="6">
        <f>'Raw Tickets'!$J$352</f>
        <v>88.6</v>
      </c>
      <c r="K352" s="1" t="str">
        <f>'Raw Tickets'!$K$352</f>
        <v>Open</v>
      </c>
      <c r="L352" s="1" t="str">
        <f>'Raw Tickets'!$L$352</f>
        <v>No</v>
      </c>
      <c r="M352" s="1" t="str">
        <f>'Raw Tickets'!$M$352</f>
        <v>No</v>
      </c>
      <c r="N352" s="1" t="str">
        <f>IFERROR(VLOOKUP(C352,Agents!$A$2:$E$26,2,FALSE),"")</f>
        <v>Nikhil Bansal</v>
      </c>
      <c r="O352" s="1" t="str">
        <f>IFERROR(INDEX(Agents!$D$2:$D$26,MATCH(C352,Agents!$A$2:$A$26,0)),"")</f>
        <v>Seller Support</v>
      </c>
      <c r="P352" s="1" t="str">
        <f>IFERROR(VLOOKUP(C352,Agents!$A$2:$E$26,3,FALSE),"")</f>
        <v>Vivek Jain</v>
      </c>
      <c r="Q352" s="1" t="str">
        <f>IFERROR(VLOOKUP(C352,Agents!$A$2:$E$26,5,FALSE),"")</f>
        <v>Bengaluru</v>
      </c>
      <c r="R352" s="1">
        <f>IFERROR(VLOOKUP(F352,#REF!,2,FALSE),0)</f>
        <v>0</v>
      </c>
      <c r="S352" s="1" t="str">
        <f t="shared" si="30"/>
        <v>Breached</v>
      </c>
      <c r="T352" s="1" t="str">
        <f t="shared" si="31"/>
        <v>Late</v>
      </c>
      <c r="U352" s="1" t="str">
        <f t="shared" si="32"/>
        <v>2025-10</v>
      </c>
      <c r="V352" s="1" t="str">
        <f t="shared" si="33"/>
        <v>Good</v>
      </c>
      <c r="W352" s="1" t="str">
        <f t="shared" si="34"/>
        <v>Pass</v>
      </c>
      <c r="X352" s="1" t="str">
        <f t="shared" si="35"/>
        <v>Unique</v>
      </c>
    </row>
    <row r="353" spans="1:24" ht="15" customHeight="1">
      <c r="A353" s="1" t="str">
        <f>'Raw Tickets'!$A$353</f>
        <v>T00352</v>
      </c>
      <c r="B353" s="4">
        <f>'Raw Tickets'!$B$353</f>
        <v>45693</v>
      </c>
      <c r="C353" s="1" t="str">
        <f>'Raw Tickets'!$C$353</f>
        <v>A023</v>
      </c>
      <c r="D353" s="1" t="str">
        <f>'Raw Tickets'!$D$353</f>
        <v>Email</v>
      </c>
      <c r="E353" s="1" t="str">
        <f>'Raw Tickets'!$E$353</f>
        <v>Order Cancellation</v>
      </c>
      <c r="F353" s="1" t="str">
        <f>'Raw Tickets'!$F$353</f>
        <v>Low</v>
      </c>
      <c r="G353" s="1">
        <f>'Raw Tickets'!$G$353</f>
        <v>68.099999999999994</v>
      </c>
      <c r="H353" s="1">
        <f>'Raw Tickets'!$H$353</f>
        <v>83</v>
      </c>
      <c r="I353" s="1">
        <f>'Raw Tickets'!$I$353</f>
        <v>2</v>
      </c>
      <c r="J353" s="6">
        <f>'Raw Tickets'!$J$353</f>
        <v>73.5</v>
      </c>
      <c r="K353" s="1" t="str">
        <f>'Raw Tickets'!$K$353</f>
        <v>Closed</v>
      </c>
      <c r="L353" s="1" t="str">
        <f>'Raw Tickets'!$L$353</f>
        <v>No</v>
      </c>
      <c r="M353" s="1" t="str">
        <f>'Raw Tickets'!$M$353</f>
        <v>No</v>
      </c>
      <c r="N353" s="1" t="str">
        <f>IFERROR(VLOOKUP(C353,Agents!$A$2:$E$26,2,FALSE),"")</f>
        <v>Ishita Verma</v>
      </c>
      <c r="O353" s="1" t="str">
        <f>IFERROR(INDEX(Agents!$D$2:$D$26,MATCH(C353,Agents!$A$2:$A$26,0)),"")</f>
        <v>Seller Support</v>
      </c>
      <c r="P353" s="1" t="str">
        <f>IFERROR(VLOOKUP(C353,Agents!$A$2:$E$26,3,FALSE),"")</f>
        <v>Vivek Jain</v>
      </c>
      <c r="Q353" s="1" t="str">
        <f>IFERROR(VLOOKUP(C353,Agents!$A$2:$E$26,5,FALSE),"")</f>
        <v>Noida</v>
      </c>
      <c r="R353" s="1">
        <f>IFERROR(VLOOKUP(F353,#REF!,2,FALSE),0)</f>
        <v>0</v>
      </c>
      <c r="S353" s="1" t="str">
        <f t="shared" si="30"/>
        <v>Breached</v>
      </c>
      <c r="T353" s="1" t="str">
        <f t="shared" si="31"/>
        <v>Late</v>
      </c>
      <c r="U353" s="1" t="str">
        <f t="shared" si="32"/>
        <v>2025-02</v>
      </c>
      <c r="V353" s="1" t="str">
        <f t="shared" si="33"/>
        <v>Poor</v>
      </c>
      <c r="W353" s="1" t="str">
        <f t="shared" si="34"/>
        <v>Needs Coaching</v>
      </c>
      <c r="X353" s="1" t="str">
        <f t="shared" si="35"/>
        <v>Unique</v>
      </c>
    </row>
    <row r="354" spans="1:24" ht="15" customHeight="1">
      <c r="A354" s="1" t="str">
        <f>'Raw Tickets'!$A$354</f>
        <v>T00353</v>
      </c>
      <c r="B354" s="4">
        <f>'Raw Tickets'!$B$354</f>
        <v>45722</v>
      </c>
      <c r="C354" s="1" t="str">
        <f>'Raw Tickets'!$C$354</f>
        <v>A019</v>
      </c>
      <c r="D354" s="1" t="str">
        <f>'Raw Tickets'!$D$354</f>
        <v>Email</v>
      </c>
      <c r="E354" s="1" t="str">
        <f>'Raw Tickets'!$E$354</f>
        <v>Refund</v>
      </c>
      <c r="F354" s="1" t="str">
        <f>'Raw Tickets'!$F$354</f>
        <v>Low</v>
      </c>
      <c r="G354" s="1">
        <f>'Raw Tickets'!$G$354</f>
        <v>65.900000000000006</v>
      </c>
      <c r="H354" s="1">
        <f>'Raw Tickets'!$H$354</f>
        <v>21</v>
      </c>
      <c r="I354" s="1">
        <f>'Raw Tickets'!$I$354</f>
        <v>4</v>
      </c>
      <c r="J354" s="6">
        <f>'Raw Tickets'!$J$354</f>
        <v>65</v>
      </c>
      <c r="K354" s="1" t="str">
        <f>'Raw Tickets'!$K$354</f>
        <v>Closed</v>
      </c>
      <c r="L354" s="1" t="str">
        <f>'Raw Tickets'!$L$354</f>
        <v>No</v>
      </c>
      <c r="M354" s="1" t="str">
        <f>'Raw Tickets'!$M$354</f>
        <v>No</v>
      </c>
      <c r="N354" s="1" t="str">
        <f>IFERROR(VLOOKUP(C354,Agents!$A$2:$E$26,2,FALSE),"")</f>
        <v>Sneha Joshi</v>
      </c>
      <c r="O354" s="1" t="str">
        <f>IFERROR(INDEX(Agents!$D$2:$D$26,MATCH(C354,Agents!$A$2:$A$26,0)),"")</f>
        <v>Escalations</v>
      </c>
      <c r="P354" s="1" t="str">
        <f>IFERROR(VLOOKUP(C354,Agents!$A$2:$E$26,3,FALSE),"")</f>
        <v>Pallavi Rao</v>
      </c>
      <c r="Q354" s="1" t="str">
        <f>IFERROR(VLOOKUP(C354,Agents!$A$2:$E$26,5,FALSE),"")</f>
        <v>Hyderabad</v>
      </c>
      <c r="R354" s="1">
        <f>IFERROR(VLOOKUP(F354,#REF!,2,FALSE),0)</f>
        <v>0</v>
      </c>
      <c r="S354" s="1" t="str">
        <f t="shared" si="30"/>
        <v>Breached</v>
      </c>
      <c r="T354" s="1" t="str">
        <f t="shared" si="31"/>
        <v>Within Target</v>
      </c>
      <c r="U354" s="1" t="str">
        <f t="shared" si="32"/>
        <v>2025-03</v>
      </c>
      <c r="V354" s="1" t="str">
        <f t="shared" si="33"/>
        <v>Good</v>
      </c>
      <c r="W354" s="1" t="str">
        <f t="shared" si="34"/>
        <v>Needs Coaching</v>
      </c>
      <c r="X354" s="1" t="str">
        <f t="shared" si="35"/>
        <v>Unique</v>
      </c>
    </row>
    <row r="355" spans="1:24" ht="15" customHeight="1">
      <c r="A355" s="1" t="str">
        <f>'Raw Tickets'!$A$355</f>
        <v>T00354</v>
      </c>
      <c r="B355" s="4">
        <f>'Raw Tickets'!$B$355</f>
        <v>45702</v>
      </c>
      <c r="C355" s="1" t="str">
        <f>'Raw Tickets'!$C$355</f>
        <v>A001</v>
      </c>
      <c r="D355" s="1" t="str">
        <f>'Raw Tickets'!$D$355</f>
        <v>Email</v>
      </c>
      <c r="E355" s="1" t="str">
        <f>'Raw Tickets'!$E$355</f>
        <v>Payment Failure</v>
      </c>
      <c r="F355" s="1" t="str">
        <f>'Raw Tickets'!$F$355</f>
        <v>Medium</v>
      </c>
      <c r="G355" s="1">
        <f>'Raw Tickets'!$G$355</f>
        <v>1.7</v>
      </c>
      <c r="H355" s="1">
        <f>'Raw Tickets'!$H$355</f>
        <v>45</v>
      </c>
      <c r="I355" s="1">
        <f>'Raw Tickets'!$I$355</f>
        <v>4</v>
      </c>
      <c r="J355" s="6">
        <f>'Raw Tickets'!$J$355</f>
        <v>85.8</v>
      </c>
      <c r="K355" s="1" t="str">
        <f>'Raw Tickets'!$K$355</f>
        <v>Closed</v>
      </c>
      <c r="L355" s="1" t="str">
        <f>'Raw Tickets'!$L$355</f>
        <v>No</v>
      </c>
      <c r="M355" s="1" t="str">
        <f>'Raw Tickets'!$M$355</f>
        <v>No</v>
      </c>
      <c r="N355" s="1" t="str">
        <f>IFERROR(VLOOKUP(C355,Agents!$A$2:$E$26,2,FALSE),"")</f>
        <v>Ishita Patel</v>
      </c>
      <c r="O355" s="1" t="str">
        <f>IFERROR(INDEX(Agents!$D$2:$D$26,MATCH(C355,Agents!$A$2:$A$26,0)),"")</f>
        <v>Email Support</v>
      </c>
      <c r="P355" s="1" t="str">
        <f>IFERROR(VLOOKUP(C355,Agents!$A$2:$E$26,3,FALSE),"")</f>
        <v>Aman Verma</v>
      </c>
      <c r="Q355" s="1" t="str">
        <f>IFERROR(VLOOKUP(C355,Agents!$A$2:$E$26,5,FALSE),"")</f>
        <v>Gurugram</v>
      </c>
      <c r="R355" s="1">
        <f>IFERROR(VLOOKUP(F355,#REF!,2,FALSE),0)</f>
        <v>0</v>
      </c>
      <c r="S355" s="1" t="str">
        <f t="shared" si="30"/>
        <v>Breached</v>
      </c>
      <c r="T355" s="1" t="str">
        <f t="shared" si="31"/>
        <v>Late</v>
      </c>
      <c r="U355" s="1" t="str">
        <f t="shared" si="32"/>
        <v>2025-02</v>
      </c>
      <c r="V355" s="1" t="str">
        <f t="shared" si="33"/>
        <v>Good</v>
      </c>
      <c r="W355" s="1" t="str">
        <f t="shared" si="34"/>
        <v>Pass</v>
      </c>
      <c r="X355" s="1" t="str">
        <f t="shared" si="35"/>
        <v>Unique</v>
      </c>
    </row>
    <row r="356" spans="1:24" ht="15" customHeight="1">
      <c r="A356" s="1" t="str">
        <f>'Raw Tickets'!$A$356</f>
        <v>T00355</v>
      </c>
      <c r="B356" s="4">
        <f>'Raw Tickets'!$B$356</f>
        <v>45976</v>
      </c>
      <c r="C356" s="1" t="str">
        <f>'Raw Tickets'!$C$356</f>
        <v>A020</v>
      </c>
      <c r="D356" s="1" t="str">
        <f>'Raw Tickets'!$D$356</f>
        <v>Email</v>
      </c>
      <c r="E356" s="1" t="str">
        <f>'Raw Tickets'!$E$356</f>
        <v>Product Quality</v>
      </c>
      <c r="F356" s="1" t="str">
        <f>'Raw Tickets'!$F$356</f>
        <v>Medium</v>
      </c>
      <c r="G356" s="1">
        <f>'Raw Tickets'!$G$356</f>
        <v>8.9</v>
      </c>
      <c r="H356" s="1">
        <f>'Raw Tickets'!$H$356</f>
        <v>69</v>
      </c>
      <c r="I356" s="1">
        <f>'Raw Tickets'!$I$356</f>
        <v>3</v>
      </c>
      <c r="J356" s="6">
        <f>'Raw Tickets'!$J$356</f>
        <v>95.3</v>
      </c>
      <c r="K356" s="1" t="str">
        <f>'Raw Tickets'!$K$356</f>
        <v>Closed</v>
      </c>
      <c r="L356" s="1" t="str">
        <f>'Raw Tickets'!$L$356</f>
        <v>No</v>
      </c>
      <c r="M356" s="1" t="str">
        <f>'Raw Tickets'!$M$356</f>
        <v>No</v>
      </c>
      <c r="N356" s="1" t="str">
        <f>IFERROR(VLOOKUP(C356,Agents!$A$2:$E$26,2,FALSE),"")</f>
        <v>Aditi Bansal</v>
      </c>
      <c r="O356" s="1" t="str">
        <f>IFERROR(INDEX(Agents!$D$2:$D$26,MATCH(C356,Agents!$A$2:$A$26,0)),"")</f>
        <v>Escalations</v>
      </c>
      <c r="P356" s="1" t="str">
        <f>IFERROR(VLOOKUP(C356,Agents!$A$2:$E$26,3,FALSE),"")</f>
        <v>Pallavi Rao</v>
      </c>
      <c r="Q356" s="1" t="str">
        <f>IFERROR(VLOOKUP(C356,Agents!$A$2:$E$26,5,FALSE),"")</f>
        <v>Noida</v>
      </c>
      <c r="R356" s="1">
        <f>IFERROR(VLOOKUP(F356,#REF!,2,FALSE),0)</f>
        <v>0</v>
      </c>
      <c r="S356" s="1" t="str">
        <f t="shared" si="30"/>
        <v>Breached</v>
      </c>
      <c r="T356" s="1" t="str">
        <f t="shared" si="31"/>
        <v>Late</v>
      </c>
      <c r="U356" s="1" t="str">
        <f t="shared" si="32"/>
        <v>2025-11</v>
      </c>
      <c r="V356" s="1" t="str">
        <f t="shared" si="33"/>
        <v>Average</v>
      </c>
      <c r="W356" s="1" t="str">
        <f t="shared" si="34"/>
        <v>Pass</v>
      </c>
      <c r="X356" s="1" t="str">
        <f t="shared" si="35"/>
        <v>Unique</v>
      </c>
    </row>
    <row r="357" spans="1:24" ht="15" customHeight="1">
      <c r="A357" s="1" t="str">
        <f>'Raw Tickets'!$A$357</f>
        <v>T00356</v>
      </c>
      <c r="B357" s="4">
        <f>'Raw Tickets'!$B$357</f>
        <v>45954</v>
      </c>
      <c r="C357" s="1" t="str">
        <f>'Raw Tickets'!$C$357</f>
        <v>A020</v>
      </c>
      <c r="D357" s="1" t="str">
        <f>'Raw Tickets'!$D$357</f>
        <v>Email</v>
      </c>
      <c r="E357" s="1" t="str">
        <f>'Raw Tickets'!$E$357</f>
        <v>Payment Failure</v>
      </c>
      <c r="F357" s="1" t="str">
        <f>'Raw Tickets'!$F$357</f>
        <v>Low</v>
      </c>
      <c r="G357" s="1">
        <f>'Raw Tickets'!$G$357</f>
        <v>45.7</v>
      </c>
      <c r="H357" s="1">
        <f>'Raw Tickets'!$H$357</f>
        <v>46</v>
      </c>
      <c r="I357" s="1">
        <f>'Raw Tickets'!$I$357</f>
        <v>4</v>
      </c>
      <c r="J357" s="6">
        <f>'Raw Tickets'!$J$357</f>
        <v>83.1</v>
      </c>
      <c r="K357" s="1" t="str">
        <f>'Raw Tickets'!$K$357</f>
        <v>Closed</v>
      </c>
      <c r="L357" s="1" t="str">
        <f>'Raw Tickets'!$L$357</f>
        <v>No</v>
      </c>
      <c r="M357" s="1" t="str">
        <f>'Raw Tickets'!$M$357</f>
        <v>No</v>
      </c>
      <c r="N357" s="1" t="str">
        <f>IFERROR(VLOOKUP(C357,Agents!$A$2:$E$26,2,FALSE),"")</f>
        <v>Aditi Bansal</v>
      </c>
      <c r="O357" s="1" t="str">
        <f>IFERROR(INDEX(Agents!$D$2:$D$26,MATCH(C357,Agents!$A$2:$A$26,0)),"")</f>
        <v>Escalations</v>
      </c>
      <c r="P357" s="1" t="str">
        <f>IFERROR(VLOOKUP(C357,Agents!$A$2:$E$26,3,FALSE),"")</f>
        <v>Pallavi Rao</v>
      </c>
      <c r="Q357" s="1" t="str">
        <f>IFERROR(VLOOKUP(C357,Agents!$A$2:$E$26,5,FALSE),"")</f>
        <v>Noida</v>
      </c>
      <c r="R357" s="1">
        <f>IFERROR(VLOOKUP(F357,#REF!,2,FALSE),0)</f>
        <v>0</v>
      </c>
      <c r="S357" s="1" t="str">
        <f t="shared" si="30"/>
        <v>Breached</v>
      </c>
      <c r="T357" s="1" t="str">
        <f t="shared" si="31"/>
        <v>Late</v>
      </c>
      <c r="U357" s="1" t="str">
        <f t="shared" si="32"/>
        <v>2025-10</v>
      </c>
      <c r="V357" s="1" t="str">
        <f t="shared" si="33"/>
        <v>Good</v>
      </c>
      <c r="W357" s="1" t="str">
        <f t="shared" si="34"/>
        <v>Needs Coaching</v>
      </c>
      <c r="X357" s="1" t="str">
        <f t="shared" si="35"/>
        <v>Unique</v>
      </c>
    </row>
    <row r="358" spans="1:24" ht="15" customHeight="1">
      <c r="A358" s="1" t="str">
        <f>'Raw Tickets'!$A$358</f>
        <v>T00357</v>
      </c>
      <c r="B358" s="4">
        <f>'Raw Tickets'!$B$358</f>
        <v>45771</v>
      </c>
      <c r="C358" s="1" t="str">
        <f>'Raw Tickets'!$C$358</f>
        <v>A006</v>
      </c>
      <c r="D358" s="1" t="str">
        <f>'Raw Tickets'!$D$358</f>
        <v>Chat</v>
      </c>
      <c r="E358" s="1" t="str">
        <f>'Raw Tickets'!$E$358</f>
        <v>Payment Failure</v>
      </c>
      <c r="F358" s="1" t="str">
        <f>'Raw Tickets'!$F$358</f>
        <v>High</v>
      </c>
      <c r="G358" s="1">
        <f>'Raw Tickets'!$G$358</f>
        <v>4.2</v>
      </c>
      <c r="H358" s="1">
        <f>'Raw Tickets'!$H$358</f>
        <v>1</v>
      </c>
      <c r="I358" s="1">
        <f>'Raw Tickets'!$I$358</f>
        <v>2</v>
      </c>
      <c r="J358" s="6">
        <f>'Raw Tickets'!$J$358</f>
        <v>93.8</v>
      </c>
      <c r="K358" s="1" t="str">
        <f>'Raw Tickets'!$K$358</f>
        <v>Closed</v>
      </c>
      <c r="L358" s="1" t="str">
        <f>'Raw Tickets'!$L$358</f>
        <v>No</v>
      </c>
      <c r="M358" s="1" t="str">
        <f>'Raw Tickets'!$M$358</f>
        <v>Yes</v>
      </c>
      <c r="N358" s="1" t="str">
        <f>IFERROR(VLOOKUP(C358,Agents!$A$2:$E$26,2,FALSE),"")</f>
        <v>Divya Shah</v>
      </c>
      <c r="O358" s="1" t="str">
        <f>IFERROR(INDEX(Agents!$D$2:$D$26,MATCH(C358,Agents!$A$2:$A$26,0)),"")</f>
        <v>Voice Support</v>
      </c>
      <c r="P358" s="1" t="str">
        <f>IFERROR(VLOOKUP(C358,Agents!$A$2:$E$26,3,FALSE),"")</f>
        <v>Kritika Shah</v>
      </c>
      <c r="Q358" s="1" t="str">
        <f>IFERROR(VLOOKUP(C358,Agents!$A$2:$E$26,5,FALSE),"")</f>
        <v>Gurugram</v>
      </c>
      <c r="R358" s="1">
        <f>IFERROR(VLOOKUP(F358,#REF!,2,FALSE),0)</f>
        <v>0</v>
      </c>
      <c r="S358" s="1" t="str">
        <f t="shared" si="30"/>
        <v>Breached</v>
      </c>
      <c r="T358" s="1" t="str">
        <f t="shared" si="31"/>
        <v>Within Target</v>
      </c>
      <c r="U358" s="1" t="str">
        <f t="shared" si="32"/>
        <v>2025-04</v>
      </c>
      <c r="V358" s="1" t="str">
        <f t="shared" si="33"/>
        <v>Poor</v>
      </c>
      <c r="W358" s="1" t="str">
        <f t="shared" si="34"/>
        <v>Pass</v>
      </c>
      <c r="X358" s="1" t="str">
        <f t="shared" si="35"/>
        <v>Unique</v>
      </c>
    </row>
    <row r="359" spans="1:24" ht="15" customHeight="1">
      <c r="A359" s="1" t="str">
        <f>'Raw Tickets'!$A$359</f>
        <v>T00358</v>
      </c>
      <c r="B359" s="4">
        <f>'Raw Tickets'!$B$359</f>
        <v>45955</v>
      </c>
      <c r="C359" s="1" t="str">
        <f>'Raw Tickets'!$C$359</f>
        <v>A012</v>
      </c>
      <c r="D359" s="1" t="str">
        <f>'Raw Tickets'!$D$359</f>
        <v>Chat</v>
      </c>
      <c r="E359" s="1" t="str">
        <f>'Raw Tickets'!$E$359</f>
        <v>Product Quality</v>
      </c>
      <c r="F359" s="1" t="str">
        <f>'Raw Tickets'!$F$359</f>
        <v>High</v>
      </c>
      <c r="G359" s="1">
        <f>'Raw Tickets'!$G$359</f>
        <v>2.2999999999999998</v>
      </c>
      <c r="H359" s="1">
        <f>'Raw Tickets'!$H$359</f>
        <v>14</v>
      </c>
      <c r="I359" s="1">
        <f>'Raw Tickets'!$I$359</f>
        <v>5</v>
      </c>
      <c r="J359" s="6">
        <f>'Raw Tickets'!$J$359</f>
        <v>83.5</v>
      </c>
      <c r="K359" s="1" t="str">
        <f>'Raw Tickets'!$K$359</f>
        <v>Closed</v>
      </c>
      <c r="L359" s="1" t="str">
        <f>'Raw Tickets'!$L$359</f>
        <v>No</v>
      </c>
      <c r="M359" s="1" t="str">
        <f>'Raw Tickets'!$M$359</f>
        <v>Yes</v>
      </c>
      <c r="N359" s="1" t="str">
        <f>IFERROR(VLOOKUP(C359,Agents!$A$2:$E$26,2,FALSE),"")</f>
        <v>Ankit Khan</v>
      </c>
      <c r="O359" s="1" t="str">
        <f>IFERROR(INDEX(Agents!$D$2:$D$26,MATCH(C359,Agents!$A$2:$A$26,0)),"")</f>
        <v>Chat Support</v>
      </c>
      <c r="P359" s="1" t="str">
        <f>IFERROR(VLOOKUP(C359,Agents!$A$2:$E$26,3,FALSE),"")</f>
        <v>Nitin Gupta</v>
      </c>
      <c r="Q359" s="1" t="str">
        <f>IFERROR(VLOOKUP(C359,Agents!$A$2:$E$26,5,FALSE),"")</f>
        <v>Bengaluru</v>
      </c>
      <c r="R359" s="1">
        <f>IFERROR(VLOOKUP(F359,#REF!,2,FALSE),0)</f>
        <v>0</v>
      </c>
      <c r="S359" s="1" t="str">
        <f t="shared" si="30"/>
        <v>Breached</v>
      </c>
      <c r="T359" s="1" t="str">
        <f t="shared" si="31"/>
        <v>Within Target</v>
      </c>
      <c r="U359" s="1" t="str">
        <f t="shared" si="32"/>
        <v>2025-10</v>
      </c>
      <c r="V359" s="1" t="str">
        <f t="shared" si="33"/>
        <v>Good</v>
      </c>
      <c r="W359" s="1" t="str">
        <f t="shared" si="34"/>
        <v>Needs Coaching</v>
      </c>
      <c r="X359" s="1" t="str">
        <f t="shared" si="35"/>
        <v>Unique</v>
      </c>
    </row>
    <row r="360" spans="1:24" ht="15" customHeight="1">
      <c r="A360" s="1" t="str">
        <f>'Raw Tickets'!$A$360</f>
        <v>T00359</v>
      </c>
      <c r="B360" s="4">
        <f>'Raw Tickets'!$B$360</f>
        <v>46010</v>
      </c>
      <c r="C360" s="1" t="str">
        <f>'Raw Tickets'!$C$360</f>
        <v>A001</v>
      </c>
      <c r="D360" s="1" t="str">
        <f>'Raw Tickets'!$D$360</f>
        <v>Call</v>
      </c>
      <c r="E360" s="1" t="str">
        <f>'Raw Tickets'!$E$360</f>
        <v>Product Quality</v>
      </c>
      <c r="F360" s="1" t="str">
        <f>'Raw Tickets'!$F$360</f>
        <v>High</v>
      </c>
      <c r="G360" s="1">
        <f>'Raw Tickets'!$G$360</f>
        <v>3</v>
      </c>
      <c r="H360" s="1">
        <f>'Raw Tickets'!$H$360</f>
        <v>49</v>
      </c>
      <c r="I360" s="1">
        <f>'Raw Tickets'!$I$360</f>
        <v>5</v>
      </c>
      <c r="J360" s="6">
        <f>'Raw Tickets'!$J$360</f>
        <v>87.3</v>
      </c>
      <c r="K360" s="1" t="str">
        <f>'Raw Tickets'!$K$360</f>
        <v>Closed</v>
      </c>
      <c r="L360" s="1" t="str">
        <f>'Raw Tickets'!$L$360</f>
        <v>No</v>
      </c>
      <c r="M360" s="1" t="str">
        <f>'Raw Tickets'!$M$360</f>
        <v>Yes</v>
      </c>
      <c r="N360" s="1" t="str">
        <f>IFERROR(VLOOKUP(C360,Agents!$A$2:$E$26,2,FALSE),"")</f>
        <v>Ishita Patel</v>
      </c>
      <c r="O360" s="1" t="str">
        <f>IFERROR(INDEX(Agents!$D$2:$D$26,MATCH(C360,Agents!$A$2:$A$26,0)),"")</f>
        <v>Email Support</v>
      </c>
      <c r="P360" s="1" t="str">
        <f>IFERROR(VLOOKUP(C360,Agents!$A$2:$E$26,3,FALSE),"")</f>
        <v>Aman Verma</v>
      </c>
      <c r="Q360" s="1" t="str">
        <f>IFERROR(VLOOKUP(C360,Agents!$A$2:$E$26,5,FALSE),"")</f>
        <v>Gurugram</v>
      </c>
      <c r="R360" s="1">
        <f>IFERROR(VLOOKUP(F360,#REF!,2,FALSE),0)</f>
        <v>0</v>
      </c>
      <c r="S360" s="1" t="str">
        <f t="shared" si="30"/>
        <v>Breached</v>
      </c>
      <c r="T360" s="1" t="str">
        <f t="shared" si="31"/>
        <v>Late</v>
      </c>
      <c r="U360" s="1" t="str">
        <f t="shared" si="32"/>
        <v>2025-12</v>
      </c>
      <c r="V360" s="1" t="str">
        <f t="shared" si="33"/>
        <v>Good</v>
      </c>
      <c r="W360" s="1" t="str">
        <f t="shared" si="34"/>
        <v>Pass</v>
      </c>
      <c r="X360" s="1" t="str">
        <f t="shared" si="35"/>
        <v>Unique</v>
      </c>
    </row>
    <row r="361" spans="1:24" ht="15" customHeight="1">
      <c r="A361" s="1" t="str">
        <f>'Raw Tickets'!$A$361</f>
        <v>T00360</v>
      </c>
      <c r="B361" s="4">
        <f>'Raw Tickets'!$B$361</f>
        <v>45979</v>
      </c>
      <c r="C361" s="1" t="str">
        <f>'Raw Tickets'!$C$361</f>
        <v>A021</v>
      </c>
      <c r="D361" s="1" t="str">
        <f>'Raw Tickets'!$D$361</f>
        <v>Chat</v>
      </c>
      <c r="E361" s="1" t="str">
        <f>'Raw Tickets'!$E$361</f>
        <v>Delivery Delay</v>
      </c>
      <c r="F361" s="1" t="str">
        <f>'Raw Tickets'!$F$361</f>
        <v>Medium</v>
      </c>
      <c r="G361" s="1">
        <f>'Raw Tickets'!$G$361</f>
        <v>10.4</v>
      </c>
      <c r="H361" s="1">
        <f>'Raw Tickets'!$H$361</f>
        <v>34</v>
      </c>
      <c r="I361" s="1">
        <f>'Raw Tickets'!$I$361</f>
        <v>4</v>
      </c>
      <c r="J361" s="6">
        <f>'Raw Tickets'!$J$361</f>
        <v>83.3</v>
      </c>
      <c r="K361" s="1" t="str">
        <f>'Raw Tickets'!$K$361</f>
        <v>Closed</v>
      </c>
      <c r="L361" s="1" t="str">
        <f>'Raw Tickets'!$L$361</f>
        <v>No</v>
      </c>
      <c r="M361" s="1" t="str">
        <f>'Raw Tickets'!$M$361</f>
        <v>No</v>
      </c>
      <c r="N361" s="1" t="str">
        <f>IFERROR(VLOOKUP(C361,Agents!$A$2:$E$26,2,FALSE),"")</f>
        <v>Nikhil Bansal</v>
      </c>
      <c r="O361" s="1" t="str">
        <f>IFERROR(INDEX(Agents!$D$2:$D$26,MATCH(C361,Agents!$A$2:$A$26,0)),"")</f>
        <v>Seller Support</v>
      </c>
      <c r="P361" s="1" t="str">
        <f>IFERROR(VLOOKUP(C361,Agents!$A$2:$E$26,3,FALSE),"")</f>
        <v>Vivek Jain</v>
      </c>
      <c r="Q361" s="1" t="str">
        <f>IFERROR(VLOOKUP(C361,Agents!$A$2:$E$26,5,FALSE),"")</f>
        <v>Bengaluru</v>
      </c>
      <c r="R361" s="1">
        <f>IFERROR(VLOOKUP(F361,#REF!,2,FALSE),0)</f>
        <v>0</v>
      </c>
      <c r="S361" s="1" t="str">
        <f t="shared" si="30"/>
        <v>Breached</v>
      </c>
      <c r="T361" s="1" t="str">
        <f t="shared" si="31"/>
        <v>Late</v>
      </c>
      <c r="U361" s="1" t="str">
        <f t="shared" si="32"/>
        <v>2025-11</v>
      </c>
      <c r="V361" s="1" t="str">
        <f t="shared" si="33"/>
        <v>Good</v>
      </c>
      <c r="W361" s="1" t="str">
        <f t="shared" si="34"/>
        <v>Needs Coaching</v>
      </c>
      <c r="X361" s="1" t="str">
        <f t="shared" si="35"/>
        <v>Unique</v>
      </c>
    </row>
    <row r="362" spans="1:24" ht="15" customHeight="1">
      <c r="A362" s="1" t="str">
        <f>'Raw Tickets'!$A$362</f>
        <v>T00361</v>
      </c>
      <c r="B362" s="4">
        <f>'Raw Tickets'!$B$362</f>
        <v>46019</v>
      </c>
      <c r="C362" s="1" t="str">
        <f>'Raw Tickets'!$C$362</f>
        <v>A011</v>
      </c>
      <c r="D362" s="1" t="str">
        <f>'Raw Tickets'!$D$362</f>
        <v>Call</v>
      </c>
      <c r="E362" s="1" t="str">
        <f>'Raw Tickets'!$E$362</f>
        <v>Delivery Delay</v>
      </c>
      <c r="F362" s="1" t="str">
        <f>'Raw Tickets'!$F$362</f>
        <v>Medium</v>
      </c>
      <c r="G362" s="1">
        <f>'Raw Tickets'!$G$362</f>
        <v>36.4</v>
      </c>
      <c r="H362" s="1">
        <f>'Raw Tickets'!$H$362</f>
        <v>44</v>
      </c>
      <c r="I362" s="1">
        <f>'Raw Tickets'!$I$362</f>
        <v>5</v>
      </c>
      <c r="J362" s="6">
        <f>'Raw Tickets'!$J$362</f>
        <v>74.5</v>
      </c>
      <c r="K362" s="1" t="str">
        <f>'Raw Tickets'!$K$362</f>
        <v>Open</v>
      </c>
      <c r="L362" s="1" t="str">
        <f>'Raw Tickets'!$L$362</f>
        <v>No</v>
      </c>
      <c r="M362" s="1" t="str">
        <f>'Raw Tickets'!$M$362</f>
        <v>No</v>
      </c>
      <c r="N362" s="1" t="str">
        <f>IFERROR(VLOOKUP(C362,Agents!$A$2:$E$26,2,FALSE),"")</f>
        <v>Shreya Singh</v>
      </c>
      <c r="O362" s="1" t="str">
        <f>IFERROR(INDEX(Agents!$D$2:$D$26,MATCH(C362,Agents!$A$2:$A$26,0)),"")</f>
        <v>Chat Support</v>
      </c>
      <c r="P362" s="1" t="str">
        <f>IFERROR(VLOOKUP(C362,Agents!$A$2:$E$26,3,FALSE),"")</f>
        <v>Nitin Gupta</v>
      </c>
      <c r="Q362" s="1" t="str">
        <f>IFERROR(VLOOKUP(C362,Agents!$A$2:$E$26,5,FALSE),"")</f>
        <v>Noida</v>
      </c>
      <c r="R362" s="1">
        <f>IFERROR(VLOOKUP(F362,#REF!,2,FALSE),0)</f>
        <v>0</v>
      </c>
      <c r="S362" s="1" t="str">
        <f t="shared" si="30"/>
        <v>Breached</v>
      </c>
      <c r="T362" s="1" t="str">
        <f t="shared" si="31"/>
        <v>Late</v>
      </c>
      <c r="U362" s="1" t="str">
        <f t="shared" si="32"/>
        <v>2025-12</v>
      </c>
      <c r="V362" s="1" t="str">
        <f t="shared" si="33"/>
        <v>Good</v>
      </c>
      <c r="W362" s="1" t="str">
        <f t="shared" si="34"/>
        <v>Needs Coaching</v>
      </c>
      <c r="X362" s="1" t="str">
        <f t="shared" si="35"/>
        <v>Unique</v>
      </c>
    </row>
    <row r="363" spans="1:24" ht="15" customHeight="1">
      <c r="A363" s="1" t="str">
        <f>'Raw Tickets'!$A$363</f>
        <v>T00362</v>
      </c>
      <c r="B363" s="4">
        <f>'Raw Tickets'!$B$363</f>
        <v>45704</v>
      </c>
      <c r="C363" s="1" t="str">
        <f>'Raw Tickets'!$C$363</f>
        <v>A013</v>
      </c>
      <c r="D363" s="1" t="str">
        <f>'Raw Tickets'!$D$363</f>
        <v>Email</v>
      </c>
      <c r="E363" s="1" t="str">
        <f>'Raw Tickets'!$E$363</f>
        <v>Delivery Delay</v>
      </c>
      <c r="F363" s="1" t="str">
        <f>'Raw Tickets'!$F$363</f>
        <v>Medium</v>
      </c>
      <c r="G363" s="1">
        <f>'Raw Tickets'!$G$363</f>
        <v>29.5</v>
      </c>
      <c r="H363" s="1">
        <f>'Raw Tickets'!$H$363</f>
        <v>25</v>
      </c>
      <c r="I363" s="1">
        <f>'Raw Tickets'!$I$363</f>
        <v>5</v>
      </c>
      <c r="J363" s="6">
        <f>'Raw Tickets'!$J$363</f>
        <v>98</v>
      </c>
      <c r="K363" s="1" t="str">
        <f>'Raw Tickets'!$K$363</f>
        <v>Closed</v>
      </c>
      <c r="L363" s="1" t="str">
        <f>'Raw Tickets'!$L$363</f>
        <v>No</v>
      </c>
      <c r="M363" s="1" t="str">
        <f>'Raw Tickets'!$M$363</f>
        <v>No</v>
      </c>
      <c r="N363" s="1" t="str">
        <f>IFERROR(VLOOKUP(C363,Agents!$A$2:$E$26,2,FALSE),"")</f>
        <v>Ananya Jain</v>
      </c>
      <c r="O363" s="1" t="str">
        <f>IFERROR(INDEX(Agents!$D$2:$D$26,MATCH(C363,Agents!$A$2:$A$26,0)),"")</f>
        <v>Chat Support</v>
      </c>
      <c r="P363" s="1" t="str">
        <f>IFERROR(VLOOKUP(C363,Agents!$A$2:$E$26,3,FALSE),"")</f>
        <v>Nitin Gupta</v>
      </c>
      <c r="Q363" s="1" t="str">
        <f>IFERROR(VLOOKUP(C363,Agents!$A$2:$E$26,5,FALSE),"")</f>
        <v>Hyderabad</v>
      </c>
      <c r="R363" s="1">
        <f>IFERROR(VLOOKUP(F363,#REF!,2,FALSE),0)</f>
        <v>0</v>
      </c>
      <c r="S363" s="1" t="str">
        <f t="shared" si="30"/>
        <v>Breached</v>
      </c>
      <c r="T363" s="1" t="str">
        <f t="shared" si="31"/>
        <v>Within Target</v>
      </c>
      <c r="U363" s="1" t="str">
        <f t="shared" si="32"/>
        <v>2025-02</v>
      </c>
      <c r="V363" s="1" t="str">
        <f t="shared" si="33"/>
        <v>Good</v>
      </c>
      <c r="W363" s="1" t="str">
        <f t="shared" si="34"/>
        <v>Pass</v>
      </c>
      <c r="X363" s="1" t="str">
        <f t="shared" si="35"/>
        <v>Unique</v>
      </c>
    </row>
    <row r="364" spans="1:24" ht="15" customHeight="1">
      <c r="A364" s="1" t="str">
        <f>'Raw Tickets'!$A$364</f>
        <v>T00363</v>
      </c>
      <c r="B364" s="4">
        <f>'Raw Tickets'!$B$364</f>
        <v>45844</v>
      </c>
      <c r="C364" s="1" t="str">
        <f>'Raw Tickets'!$C$364</f>
        <v>A017</v>
      </c>
      <c r="D364" s="1" t="str">
        <f>'Raw Tickets'!$D$364</f>
        <v>Chat</v>
      </c>
      <c r="E364" s="1" t="str">
        <f>'Raw Tickets'!$E$364</f>
        <v>Refund</v>
      </c>
      <c r="F364" s="1" t="str">
        <f>'Raw Tickets'!$F$364</f>
        <v>Low</v>
      </c>
      <c r="G364" s="1">
        <f>'Raw Tickets'!$G$364</f>
        <v>21</v>
      </c>
      <c r="H364" s="1">
        <f>'Raw Tickets'!$H$364</f>
        <v>23</v>
      </c>
      <c r="I364" s="1">
        <f>'Raw Tickets'!$I$364</f>
        <v>2</v>
      </c>
      <c r="J364" s="6">
        <f>'Raw Tickets'!$J$364</f>
        <v>85.3</v>
      </c>
      <c r="K364" s="1" t="str">
        <f>'Raw Tickets'!$K$364</f>
        <v>Closed</v>
      </c>
      <c r="L364" s="1" t="str">
        <f>'Raw Tickets'!$L$364</f>
        <v>No</v>
      </c>
      <c r="M364" s="1" t="str">
        <f>'Raw Tickets'!$M$364</f>
        <v>No</v>
      </c>
      <c r="N364" s="1" t="str">
        <f>IFERROR(VLOOKUP(C364,Agents!$A$2:$E$26,2,FALSE),"")</f>
        <v>Varun Mehta</v>
      </c>
      <c r="O364" s="1" t="str">
        <f>IFERROR(INDEX(Agents!$D$2:$D$26,MATCH(C364,Agents!$A$2:$A$26,0)),"")</f>
        <v>Escalations</v>
      </c>
      <c r="P364" s="1" t="str">
        <f>IFERROR(VLOOKUP(C364,Agents!$A$2:$E$26,3,FALSE),"")</f>
        <v>Pallavi Rao</v>
      </c>
      <c r="Q364" s="1" t="str">
        <f>IFERROR(VLOOKUP(C364,Agents!$A$2:$E$26,5,FALSE),"")</f>
        <v>Gurugram</v>
      </c>
      <c r="R364" s="1">
        <f>IFERROR(VLOOKUP(F364,#REF!,2,FALSE),0)</f>
        <v>0</v>
      </c>
      <c r="S364" s="1" t="str">
        <f t="shared" si="30"/>
        <v>Breached</v>
      </c>
      <c r="T364" s="1" t="str">
        <f t="shared" si="31"/>
        <v>Within Target</v>
      </c>
      <c r="U364" s="1" t="str">
        <f t="shared" si="32"/>
        <v>2025-07</v>
      </c>
      <c r="V364" s="1" t="str">
        <f t="shared" si="33"/>
        <v>Poor</v>
      </c>
      <c r="W364" s="1" t="str">
        <f t="shared" si="34"/>
        <v>Pass</v>
      </c>
      <c r="X364" s="1" t="str">
        <f t="shared" si="35"/>
        <v>Unique</v>
      </c>
    </row>
    <row r="365" spans="1:24" ht="15" customHeight="1">
      <c r="A365" s="1" t="str">
        <f>'Raw Tickets'!$A$365</f>
        <v>T00364</v>
      </c>
      <c r="B365" s="4">
        <f>'Raw Tickets'!$B$365</f>
        <v>45826</v>
      </c>
      <c r="C365" s="1" t="str">
        <f>'Raw Tickets'!$C$365</f>
        <v>A015</v>
      </c>
      <c r="D365" s="1" t="str">
        <f>'Raw Tickets'!$D$365</f>
        <v>Chat</v>
      </c>
      <c r="E365" s="1" t="str">
        <f>'Raw Tickets'!$E$365</f>
        <v>Product Quality</v>
      </c>
      <c r="F365" s="1" t="str">
        <f>'Raw Tickets'!$F$365</f>
        <v>Low</v>
      </c>
      <c r="G365" s="1">
        <f>'Raw Tickets'!$G$365</f>
        <v>11.8</v>
      </c>
      <c r="H365" s="1">
        <f>'Raw Tickets'!$H$365</f>
        <v>62</v>
      </c>
      <c r="I365" s="1">
        <f>'Raw Tickets'!$I$365</f>
        <v>5</v>
      </c>
      <c r="J365" s="6">
        <f>'Raw Tickets'!$J$365</f>
        <v>97.4</v>
      </c>
      <c r="K365" s="1" t="str">
        <f>'Raw Tickets'!$K$365</f>
        <v>Closed</v>
      </c>
      <c r="L365" s="1" t="str">
        <f>'Raw Tickets'!$L$365</f>
        <v>No</v>
      </c>
      <c r="M365" s="1" t="str">
        <f>'Raw Tickets'!$M$365</f>
        <v>No</v>
      </c>
      <c r="N365" s="1" t="str">
        <f>IFERROR(VLOOKUP(C365,Agents!$A$2:$E$26,2,FALSE),"")</f>
        <v>Neha Jain</v>
      </c>
      <c r="O365" s="1" t="str">
        <f>IFERROR(INDEX(Agents!$D$2:$D$26,MATCH(C365,Agents!$A$2:$A$26,0)),"")</f>
        <v>Chat Support</v>
      </c>
      <c r="P365" s="1" t="str">
        <f>IFERROR(VLOOKUP(C365,Agents!$A$2:$E$26,3,FALSE),"")</f>
        <v>Nitin Gupta</v>
      </c>
      <c r="Q365" s="1" t="str">
        <f>IFERROR(VLOOKUP(C365,Agents!$A$2:$E$26,5,FALSE),"")</f>
        <v>Bengaluru</v>
      </c>
      <c r="R365" s="1">
        <f>IFERROR(VLOOKUP(F365,#REF!,2,FALSE),0)</f>
        <v>0</v>
      </c>
      <c r="S365" s="1" t="str">
        <f t="shared" si="30"/>
        <v>Breached</v>
      </c>
      <c r="T365" s="1" t="str">
        <f t="shared" si="31"/>
        <v>Late</v>
      </c>
      <c r="U365" s="1" t="str">
        <f t="shared" si="32"/>
        <v>2025-06</v>
      </c>
      <c r="V365" s="1" t="str">
        <f t="shared" si="33"/>
        <v>Good</v>
      </c>
      <c r="W365" s="1" t="str">
        <f t="shared" si="34"/>
        <v>Pass</v>
      </c>
      <c r="X365" s="1" t="str">
        <f t="shared" si="35"/>
        <v>Unique</v>
      </c>
    </row>
    <row r="366" spans="1:24" ht="15" customHeight="1">
      <c r="A366" s="1" t="str">
        <f>'Raw Tickets'!$A$366</f>
        <v>T00365</v>
      </c>
      <c r="B366" s="4">
        <f>'Raw Tickets'!$B$366</f>
        <v>45727</v>
      </c>
      <c r="C366" s="1" t="str">
        <f>'Raw Tickets'!$C$366</f>
        <v>A001</v>
      </c>
      <c r="D366" s="1" t="str">
        <f>'Raw Tickets'!$D$366</f>
        <v>Email</v>
      </c>
      <c r="E366" s="1" t="str">
        <f>'Raw Tickets'!$E$366</f>
        <v>Payment Failure</v>
      </c>
      <c r="F366" s="1" t="str">
        <f>'Raw Tickets'!$F$366</f>
        <v>Medium</v>
      </c>
      <c r="G366" s="1">
        <f>'Raw Tickets'!$G$366</f>
        <v>18.8</v>
      </c>
      <c r="H366" s="1">
        <f>'Raw Tickets'!$H$366</f>
        <v>28</v>
      </c>
      <c r="I366" s="1">
        <f>'Raw Tickets'!$I$366</f>
        <v>5</v>
      </c>
      <c r="J366" s="6">
        <f>'Raw Tickets'!$J$366</f>
        <v>92.4</v>
      </c>
      <c r="K366" s="1" t="str">
        <f>'Raw Tickets'!$K$366</f>
        <v>Closed</v>
      </c>
      <c r="L366" s="1" t="str">
        <f>'Raw Tickets'!$L$366</f>
        <v>No</v>
      </c>
      <c r="M366" s="1" t="str">
        <f>'Raw Tickets'!$M$366</f>
        <v>No</v>
      </c>
      <c r="N366" s="1" t="str">
        <f>IFERROR(VLOOKUP(C366,Agents!$A$2:$E$26,2,FALSE),"")</f>
        <v>Ishita Patel</v>
      </c>
      <c r="O366" s="1" t="str">
        <f>IFERROR(INDEX(Agents!$D$2:$D$26,MATCH(C366,Agents!$A$2:$A$26,0)),"")</f>
        <v>Email Support</v>
      </c>
      <c r="P366" s="1" t="str">
        <f>IFERROR(VLOOKUP(C366,Agents!$A$2:$E$26,3,FALSE),"")</f>
        <v>Aman Verma</v>
      </c>
      <c r="Q366" s="1" t="str">
        <f>IFERROR(VLOOKUP(C366,Agents!$A$2:$E$26,5,FALSE),"")</f>
        <v>Gurugram</v>
      </c>
      <c r="R366" s="1">
        <f>IFERROR(VLOOKUP(F366,#REF!,2,FALSE),0)</f>
        <v>0</v>
      </c>
      <c r="S366" s="1" t="str">
        <f t="shared" si="30"/>
        <v>Breached</v>
      </c>
      <c r="T366" s="1" t="str">
        <f t="shared" si="31"/>
        <v>Within Target</v>
      </c>
      <c r="U366" s="1" t="str">
        <f t="shared" si="32"/>
        <v>2025-03</v>
      </c>
      <c r="V366" s="1" t="str">
        <f t="shared" si="33"/>
        <v>Good</v>
      </c>
      <c r="W366" s="1" t="str">
        <f t="shared" si="34"/>
        <v>Pass</v>
      </c>
      <c r="X366" s="1" t="str">
        <f t="shared" si="35"/>
        <v>Unique</v>
      </c>
    </row>
    <row r="367" spans="1:24" ht="15" customHeight="1">
      <c r="A367" s="1" t="str">
        <f>'Raw Tickets'!$A$367</f>
        <v>T00366</v>
      </c>
      <c r="B367" s="4">
        <f>'Raw Tickets'!$B$367</f>
        <v>45724</v>
      </c>
      <c r="C367" s="1" t="str">
        <f>'Raw Tickets'!$C$367</f>
        <v>A025</v>
      </c>
      <c r="D367" s="1" t="str">
        <f>'Raw Tickets'!$D$367</f>
        <v>Call</v>
      </c>
      <c r="E367" s="1" t="str">
        <f>'Raw Tickets'!$E$367</f>
        <v>Delivery Delay</v>
      </c>
      <c r="F367" s="1" t="str">
        <f>'Raw Tickets'!$F$367</f>
        <v>Low</v>
      </c>
      <c r="G367" s="1">
        <f>'Raw Tickets'!$G$367</f>
        <v>63.9</v>
      </c>
      <c r="H367" s="1">
        <f>'Raw Tickets'!$H$367</f>
        <v>71</v>
      </c>
      <c r="I367" s="1">
        <f>'Raw Tickets'!$I$367</f>
        <v>5</v>
      </c>
      <c r="J367" s="6">
        <f>'Raw Tickets'!$J$367</f>
        <v>77.7</v>
      </c>
      <c r="K367" s="1" t="str">
        <f>'Raw Tickets'!$K$367</f>
        <v>Closed</v>
      </c>
      <c r="L367" s="1" t="str">
        <f>'Raw Tickets'!$L$367</f>
        <v>No</v>
      </c>
      <c r="M367" s="1" t="str">
        <f>'Raw Tickets'!$M$367</f>
        <v>No</v>
      </c>
      <c r="N367" s="1" t="str">
        <f>IFERROR(VLOOKUP(C367,Agents!$A$2:$E$26,2,FALSE),"")</f>
        <v>Arjun Nair</v>
      </c>
      <c r="O367" s="1" t="str">
        <f>IFERROR(INDEX(Agents!$D$2:$D$26,MATCH(C367,Agents!$A$2:$A$26,0)),"")</f>
        <v>Seller Support</v>
      </c>
      <c r="P367" s="1" t="str">
        <f>IFERROR(VLOOKUP(C367,Agents!$A$2:$E$26,3,FALSE),"")</f>
        <v>Vivek Jain</v>
      </c>
      <c r="Q367" s="1" t="str">
        <f>IFERROR(VLOOKUP(C367,Agents!$A$2:$E$26,5,FALSE),"")</f>
        <v>Noida</v>
      </c>
      <c r="R367" s="1">
        <f>IFERROR(VLOOKUP(F367,#REF!,2,FALSE),0)</f>
        <v>0</v>
      </c>
      <c r="S367" s="1" t="str">
        <f t="shared" si="30"/>
        <v>Breached</v>
      </c>
      <c r="T367" s="1" t="str">
        <f t="shared" si="31"/>
        <v>Late</v>
      </c>
      <c r="U367" s="1" t="str">
        <f t="shared" si="32"/>
        <v>2025-03</v>
      </c>
      <c r="V367" s="1" t="str">
        <f t="shared" si="33"/>
        <v>Good</v>
      </c>
      <c r="W367" s="1" t="str">
        <f t="shared" si="34"/>
        <v>Needs Coaching</v>
      </c>
      <c r="X367" s="1" t="str">
        <f t="shared" si="35"/>
        <v>Unique</v>
      </c>
    </row>
    <row r="368" spans="1:24" ht="15" customHeight="1">
      <c r="A368" s="1" t="str">
        <f>'Raw Tickets'!$A$368</f>
        <v>T00367</v>
      </c>
      <c r="B368" s="4">
        <f>'Raw Tickets'!$B$368</f>
        <v>45756</v>
      </c>
      <c r="C368" s="1" t="str">
        <f>'Raw Tickets'!$C$368</f>
        <v>A020</v>
      </c>
      <c r="D368" s="1" t="str">
        <f>'Raw Tickets'!$D$368</f>
        <v>Call</v>
      </c>
      <c r="E368" s="1" t="str">
        <f>'Raw Tickets'!$E$368</f>
        <v>Account Issue</v>
      </c>
      <c r="F368" s="1" t="str">
        <f>'Raw Tickets'!$F$368</f>
        <v>High</v>
      </c>
      <c r="G368" s="1">
        <f>'Raw Tickets'!$G$368</f>
        <v>11.5</v>
      </c>
      <c r="H368" s="1">
        <f>'Raw Tickets'!$H$368</f>
        <v>20</v>
      </c>
      <c r="I368" s="1">
        <f>'Raw Tickets'!$I$368</f>
        <v>5</v>
      </c>
      <c r="J368" s="6">
        <f>'Raw Tickets'!$J$368</f>
        <v>81.8</v>
      </c>
      <c r="K368" s="1" t="str">
        <f>'Raw Tickets'!$K$368</f>
        <v>Closed</v>
      </c>
      <c r="L368" s="1" t="str">
        <f>'Raw Tickets'!$L$368</f>
        <v>No</v>
      </c>
      <c r="M368" s="1" t="str">
        <f>'Raw Tickets'!$M$368</f>
        <v>No</v>
      </c>
      <c r="N368" s="1" t="str">
        <f>IFERROR(VLOOKUP(C368,Agents!$A$2:$E$26,2,FALSE),"")</f>
        <v>Aditi Bansal</v>
      </c>
      <c r="O368" s="1" t="str">
        <f>IFERROR(INDEX(Agents!$D$2:$D$26,MATCH(C368,Agents!$A$2:$A$26,0)),"")</f>
        <v>Escalations</v>
      </c>
      <c r="P368" s="1" t="str">
        <f>IFERROR(VLOOKUP(C368,Agents!$A$2:$E$26,3,FALSE),"")</f>
        <v>Pallavi Rao</v>
      </c>
      <c r="Q368" s="1" t="str">
        <f>IFERROR(VLOOKUP(C368,Agents!$A$2:$E$26,5,FALSE),"")</f>
        <v>Noida</v>
      </c>
      <c r="R368" s="1">
        <f>IFERROR(VLOOKUP(F368,#REF!,2,FALSE),0)</f>
        <v>0</v>
      </c>
      <c r="S368" s="1" t="str">
        <f t="shared" si="30"/>
        <v>Breached</v>
      </c>
      <c r="T368" s="1" t="str">
        <f t="shared" si="31"/>
        <v>Within Target</v>
      </c>
      <c r="U368" s="1" t="str">
        <f t="shared" si="32"/>
        <v>2025-04</v>
      </c>
      <c r="V368" s="1" t="str">
        <f t="shared" si="33"/>
        <v>Good</v>
      </c>
      <c r="W368" s="1" t="str">
        <f t="shared" si="34"/>
        <v>Needs Coaching</v>
      </c>
      <c r="X368" s="1" t="str">
        <f t="shared" si="35"/>
        <v>Unique</v>
      </c>
    </row>
    <row r="369" spans="1:24" ht="15" customHeight="1">
      <c r="A369" s="1" t="str">
        <f>'Raw Tickets'!$A$369</f>
        <v>T00368</v>
      </c>
      <c r="B369" s="4">
        <f>'Raw Tickets'!$B$369</f>
        <v>45889</v>
      </c>
      <c r="C369" s="1" t="str">
        <f>'Raw Tickets'!$C$369</f>
        <v>A004</v>
      </c>
      <c r="D369" s="1" t="str">
        <f>'Raw Tickets'!$D$369</f>
        <v>Chat</v>
      </c>
      <c r="E369" s="1" t="str">
        <f>'Raw Tickets'!$E$369</f>
        <v>Payment Failure</v>
      </c>
      <c r="F369" s="1" t="str">
        <f>'Raw Tickets'!$F$369</f>
        <v>High</v>
      </c>
      <c r="G369" s="1">
        <f>'Raw Tickets'!$G$369</f>
        <v>12</v>
      </c>
      <c r="H369" s="1">
        <f>'Raw Tickets'!$H$369</f>
        <v>20</v>
      </c>
      <c r="I369" s="1">
        <f>'Raw Tickets'!$I$369</f>
        <v>5</v>
      </c>
      <c r="J369" s="6">
        <f>'Raw Tickets'!$J$369</f>
        <v>78.099999999999994</v>
      </c>
      <c r="K369" s="1" t="str">
        <f>'Raw Tickets'!$K$369</f>
        <v>Closed</v>
      </c>
      <c r="L369" s="1" t="str">
        <f>'Raw Tickets'!$L$369</f>
        <v>No</v>
      </c>
      <c r="M369" s="1" t="str">
        <f>'Raw Tickets'!$M$369</f>
        <v>Yes</v>
      </c>
      <c r="N369" s="1" t="str">
        <f>IFERROR(VLOOKUP(C369,Agents!$A$2:$E$26,2,FALSE),"")</f>
        <v>Arjun Agarwal</v>
      </c>
      <c r="O369" s="1" t="str">
        <f>IFERROR(INDEX(Agents!$D$2:$D$26,MATCH(C369,Agents!$A$2:$A$26,0)),"")</f>
        <v>Email Support</v>
      </c>
      <c r="P369" s="1" t="str">
        <f>IFERROR(VLOOKUP(C369,Agents!$A$2:$E$26,3,FALSE),"")</f>
        <v>Aman Verma</v>
      </c>
      <c r="Q369" s="1" t="str">
        <f>IFERROR(VLOOKUP(C369,Agents!$A$2:$E$26,5,FALSE),"")</f>
        <v>Bengaluru</v>
      </c>
      <c r="R369" s="1">
        <f>IFERROR(VLOOKUP(F369,#REF!,2,FALSE),0)</f>
        <v>0</v>
      </c>
      <c r="S369" s="1" t="str">
        <f t="shared" si="30"/>
        <v>Breached</v>
      </c>
      <c r="T369" s="1" t="str">
        <f t="shared" si="31"/>
        <v>Within Target</v>
      </c>
      <c r="U369" s="1" t="str">
        <f t="shared" si="32"/>
        <v>2025-08</v>
      </c>
      <c r="V369" s="1" t="str">
        <f t="shared" si="33"/>
        <v>Good</v>
      </c>
      <c r="W369" s="1" t="str">
        <f t="shared" si="34"/>
        <v>Needs Coaching</v>
      </c>
      <c r="X369" s="1" t="str">
        <f t="shared" si="35"/>
        <v>Unique</v>
      </c>
    </row>
    <row r="370" spans="1:24" ht="15" customHeight="1">
      <c r="A370" s="1" t="str">
        <f>'Raw Tickets'!$A$370</f>
        <v>T00369</v>
      </c>
      <c r="B370" s="4">
        <f>'Raw Tickets'!$B$370</f>
        <v>45835</v>
      </c>
      <c r="C370" s="1" t="str">
        <f>'Raw Tickets'!$C$370</f>
        <v>A002</v>
      </c>
      <c r="D370" s="1" t="str">
        <f>'Raw Tickets'!$D$370</f>
        <v>Email</v>
      </c>
      <c r="E370" s="1" t="str">
        <f>'Raw Tickets'!$E$370</f>
        <v>Payment Failure</v>
      </c>
      <c r="F370" s="1" t="str">
        <f>'Raw Tickets'!$F$370</f>
        <v>Medium</v>
      </c>
      <c r="G370" s="1">
        <f>'Raw Tickets'!$G$370</f>
        <v>22.1</v>
      </c>
      <c r="H370" s="1">
        <f>'Raw Tickets'!$H$370</f>
        <v>50</v>
      </c>
      <c r="I370" s="1">
        <f>'Raw Tickets'!$I$370</f>
        <v>4</v>
      </c>
      <c r="J370" s="6">
        <f>'Raw Tickets'!$J$370</f>
        <v>100</v>
      </c>
      <c r="K370" s="1" t="str">
        <f>'Raw Tickets'!$K$370</f>
        <v>Closed</v>
      </c>
      <c r="L370" s="1" t="str">
        <f>'Raw Tickets'!$L$370</f>
        <v>No</v>
      </c>
      <c r="M370" s="1" t="str">
        <f>'Raw Tickets'!$M$370</f>
        <v>No</v>
      </c>
      <c r="N370" s="1" t="str">
        <f>IFERROR(VLOOKUP(C370,Agents!$A$2:$E$26,2,FALSE),"")</f>
        <v>Gaurav Khan</v>
      </c>
      <c r="O370" s="1" t="str">
        <f>IFERROR(INDEX(Agents!$D$2:$D$26,MATCH(C370,Agents!$A$2:$A$26,0)),"")</f>
        <v>Email Support</v>
      </c>
      <c r="P370" s="1" t="str">
        <f>IFERROR(VLOOKUP(C370,Agents!$A$2:$E$26,3,FALSE),"")</f>
        <v>Aman Verma</v>
      </c>
      <c r="Q370" s="1" t="str">
        <f>IFERROR(VLOOKUP(C370,Agents!$A$2:$E$26,5,FALSE),"")</f>
        <v>Noida</v>
      </c>
      <c r="R370" s="1">
        <f>IFERROR(VLOOKUP(F370,#REF!,2,FALSE),0)</f>
        <v>0</v>
      </c>
      <c r="S370" s="1" t="str">
        <f t="shared" si="30"/>
        <v>Breached</v>
      </c>
      <c r="T370" s="1" t="str">
        <f t="shared" si="31"/>
        <v>Late</v>
      </c>
      <c r="U370" s="1" t="str">
        <f t="shared" si="32"/>
        <v>2025-06</v>
      </c>
      <c r="V370" s="1" t="str">
        <f t="shared" si="33"/>
        <v>Good</v>
      </c>
      <c r="W370" s="1" t="str">
        <f t="shared" si="34"/>
        <v>Pass</v>
      </c>
      <c r="X370" s="1" t="str">
        <f t="shared" si="35"/>
        <v>Unique</v>
      </c>
    </row>
    <row r="371" spans="1:24" ht="15" customHeight="1">
      <c r="A371" s="1" t="str">
        <f>'Raw Tickets'!$A$371</f>
        <v>T00370</v>
      </c>
      <c r="B371" s="4">
        <f>'Raw Tickets'!$B$371</f>
        <v>45995</v>
      </c>
      <c r="C371" s="1" t="str">
        <f>'Raw Tickets'!$C$371</f>
        <v>A016</v>
      </c>
      <c r="D371" s="1" t="str">
        <f>'Raw Tickets'!$D$371</f>
        <v>Email</v>
      </c>
      <c r="E371" s="1" t="str">
        <f>'Raw Tickets'!$E$371</f>
        <v>Refund</v>
      </c>
      <c r="F371" s="1" t="str">
        <f>'Raw Tickets'!$F$371</f>
        <v>Medium</v>
      </c>
      <c r="G371" s="1">
        <f>'Raw Tickets'!$G$371</f>
        <v>24</v>
      </c>
      <c r="H371" s="1">
        <f>'Raw Tickets'!$H$371</f>
        <v>35</v>
      </c>
      <c r="I371" s="1">
        <f>'Raw Tickets'!$I$371</f>
        <v>4</v>
      </c>
      <c r="J371" s="6">
        <f>'Raw Tickets'!$J$371</f>
        <v>97.9</v>
      </c>
      <c r="K371" s="1" t="str">
        <f>'Raw Tickets'!$K$371</f>
        <v>Closed</v>
      </c>
      <c r="L371" s="1" t="str">
        <f>'Raw Tickets'!$L$371</f>
        <v>No</v>
      </c>
      <c r="M371" s="1" t="str">
        <f>'Raw Tickets'!$M$371</f>
        <v>No</v>
      </c>
      <c r="N371" s="1" t="str">
        <f>IFERROR(VLOOKUP(C371,Agents!$A$2:$E$26,2,FALSE),"")</f>
        <v>Pooja Bansal</v>
      </c>
      <c r="O371" s="1" t="str">
        <f>IFERROR(INDEX(Agents!$D$2:$D$26,MATCH(C371,Agents!$A$2:$A$26,0)),"")</f>
        <v>Escalations</v>
      </c>
      <c r="P371" s="1" t="str">
        <f>IFERROR(VLOOKUP(C371,Agents!$A$2:$E$26,3,FALSE),"")</f>
        <v>Pallavi Rao</v>
      </c>
      <c r="Q371" s="1" t="str">
        <f>IFERROR(VLOOKUP(C371,Agents!$A$2:$E$26,5,FALSE),"")</f>
        <v>Hyderabad</v>
      </c>
      <c r="R371" s="1">
        <f>IFERROR(VLOOKUP(F371,#REF!,2,FALSE),0)</f>
        <v>0</v>
      </c>
      <c r="S371" s="1" t="str">
        <f t="shared" si="30"/>
        <v>Breached</v>
      </c>
      <c r="T371" s="1" t="str">
        <f t="shared" si="31"/>
        <v>Late</v>
      </c>
      <c r="U371" s="1" t="str">
        <f t="shared" si="32"/>
        <v>2025-12</v>
      </c>
      <c r="V371" s="1" t="str">
        <f t="shared" si="33"/>
        <v>Good</v>
      </c>
      <c r="W371" s="1" t="str">
        <f t="shared" si="34"/>
        <v>Pass</v>
      </c>
      <c r="X371" s="1" t="str">
        <f t="shared" si="35"/>
        <v>Unique</v>
      </c>
    </row>
    <row r="372" spans="1:24" ht="15" customHeight="1">
      <c r="A372" s="1" t="str">
        <f>'Raw Tickets'!$A$372</f>
        <v>T00371</v>
      </c>
      <c r="B372" s="4">
        <f>'Raw Tickets'!$B$372</f>
        <v>45739</v>
      </c>
      <c r="C372" s="1" t="str">
        <f>'Raw Tickets'!$C$372</f>
        <v>A010</v>
      </c>
      <c r="D372" s="1" t="str">
        <f>'Raw Tickets'!$D$372</f>
        <v>Chat</v>
      </c>
      <c r="E372" s="1" t="str">
        <f>'Raw Tickets'!$E$372</f>
        <v>Order Cancellation</v>
      </c>
      <c r="F372" s="1" t="str">
        <f>'Raw Tickets'!$F$372</f>
        <v>Low</v>
      </c>
      <c r="G372" s="1">
        <f>'Raw Tickets'!$G$372</f>
        <v>45.3</v>
      </c>
      <c r="H372" s="1">
        <f>'Raw Tickets'!$H$372</f>
        <v>72</v>
      </c>
      <c r="I372" s="1">
        <f>'Raw Tickets'!$I$372</f>
        <v>4</v>
      </c>
      <c r="J372" s="6">
        <f>'Raw Tickets'!$J$372</f>
        <v>88.8</v>
      </c>
      <c r="K372" s="1" t="str">
        <f>'Raw Tickets'!$K$372</f>
        <v>Closed</v>
      </c>
      <c r="L372" s="1" t="str">
        <f>'Raw Tickets'!$L$372</f>
        <v>No</v>
      </c>
      <c r="M372" s="1" t="str">
        <f>'Raw Tickets'!$M$372</f>
        <v>No</v>
      </c>
      <c r="N372" s="1" t="str">
        <f>IFERROR(VLOOKUP(C372,Agents!$A$2:$E$26,2,FALSE),"")</f>
        <v>Ananya Gupta</v>
      </c>
      <c r="O372" s="1" t="str">
        <f>IFERROR(INDEX(Agents!$D$2:$D$26,MATCH(C372,Agents!$A$2:$A$26,0)),"")</f>
        <v>Voice Support</v>
      </c>
      <c r="P372" s="1" t="str">
        <f>IFERROR(VLOOKUP(C372,Agents!$A$2:$E$26,3,FALSE),"")</f>
        <v>Kritika Shah</v>
      </c>
      <c r="Q372" s="1" t="str">
        <f>IFERROR(VLOOKUP(C372,Agents!$A$2:$E$26,5,FALSE),"")</f>
        <v>Gurugram</v>
      </c>
      <c r="R372" s="1">
        <f>IFERROR(VLOOKUP(F372,#REF!,2,FALSE),0)</f>
        <v>0</v>
      </c>
      <c r="S372" s="1" t="str">
        <f t="shared" si="30"/>
        <v>Breached</v>
      </c>
      <c r="T372" s="1" t="str">
        <f t="shared" si="31"/>
        <v>Late</v>
      </c>
      <c r="U372" s="1" t="str">
        <f t="shared" si="32"/>
        <v>2025-03</v>
      </c>
      <c r="V372" s="1" t="str">
        <f t="shared" si="33"/>
        <v>Good</v>
      </c>
      <c r="W372" s="1" t="str">
        <f t="shared" si="34"/>
        <v>Pass</v>
      </c>
      <c r="X372" s="1" t="str">
        <f t="shared" si="35"/>
        <v>Unique</v>
      </c>
    </row>
    <row r="373" spans="1:24" ht="15" customHeight="1">
      <c r="A373" s="1" t="str">
        <f>'Raw Tickets'!$A$373</f>
        <v>T00372</v>
      </c>
      <c r="B373" s="4">
        <f>'Raw Tickets'!$B$373</f>
        <v>45879</v>
      </c>
      <c r="C373" s="1" t="str">
        <f>'Raw Tickets'!$C$373</f>
        <v>A011</v>
      </c>
      <c r="D373" s="1" t="str">
        <f>'Raw Tickets'!$D$373</f>
        <v>Call</v>
      </c>
      <c r="E373" s="1" t="str">
        <f>'Raw Tickets'!$E$373</f>
        <v>Order Cancellation</v>
      </c>
      <c r="F373" s="1" t="str">
        <f>'Raw Tickets'!$F$373</f>
        <v>Medium</v>
      </c>
      <c r="G373" s="1">
        <f>'Raw Tickets'!$G$373</f>
        <v>27.3</v>
      </c>
      <c r="H373" s="1">
        <f>'Raw Tickets'!$H$373</f>
        <v>52</v>
      </c>
      <c r="I373" s="1">
        <f>'Raw Tickets'!$I$373</f>
        <v>5</v>
      </c>
      <c r="J373" s="6">
        <f>'Raw Tickets'!$J$373</f>
        <v>72.8</v>
      </c>
      <c r="K373" s="1" t="str">
        <f>'Raw Tickets'!$K$373</f>
        <v>Closed</v>
      </c>
      <c r="L373" s="1" t="str">
        <f>'Raw Tickets'!$L$373</f>
        <v>No</v>
      </c>
      <c r="M373" s="1" t="str">
        <f>'Raw Tickets'!$M$373</f>
        <v>No</v>
      </c>
      <c r="N373" s="1" t="str">
        <f>IFERROR(VLOOKUP(C373,Agents!$A$2:$E$26,2,FALSE),"")</f>
        <v>Shreya Singh</v>
      </c>
      <c r="O373" s="1" t="str">
        <f>IFERROR(INDEX(Agents!$D$2:$D$26,MATCH(C373,Agents!$A$2:$A$26,0)),"")</f>
        <v>Chat Support</v>
      </c>
      <c r="P373" s="1" t="str">
        <f>IFERROR(VLOOKUP(C373,Agents!$A$2:$E$26,3,FALSE),"")</f>
        <v>Nitin Gupta</v>
      </c>
      <c r="Q373" s="1" t="str">
        <f>IFERROR(VLOOKUP(C373,Agents!$A$2:$E$26,5,FALSE),"")</f>
        <v>Noida</v>
      </c>
      <c r="R373" s="1">
        <f>IFERROR(VLOOKUP(F373,#REF!,2,FALSE),0)</f>
        <v>0</v>
      </c>
      <c r="S373" s="1" t="str">
        <f t="shared" si="30"/>
        <v>Breached</v>
      </c>
      <c r="T373" s="1" t="str">
        <f t="shared" si="31"/>
        <v>Late</v>
      </c>
      <c r="U373" s="1" t="str">
        <f t="shared" si="32"/>
        <v>2025-08</v>
      </c>
      <c r="V373" s="1" t="str">
        <f t="shared" si="33"/>
        <v>Good</v>
      </c>
      <c r="W373" s="1" t="str">
        <f t="shared" si="34"/>
        <v>Needs Coaching</v>
      </c>
      <c r="X373" s="1" t="str">
        <f t="shared" si="35"/>
        <v>Unique</v>
      </c>
    </row>
    <row r="374" spans="1:24" ht="15" customHeight="1">
      <c r="A374" s="1" t="str">
        <f>'Raw Tickets'!$A$374</f>
        <v>T00373</v>
      </c>
      <c r="B374" s="4">
        <f>'Raw Tickets'!$B$374</f>
        <v>45787</v>
      </c>
      <c r="C374" s="1" t="str">
        <f>'Raw Tickets'!$C$374</f>
        <v>A007</v>
      </c>
      <c r="D374" s="1" t="str">
        <f>'Raw Tickets'!$D$374</f>
        <v>Email</v>
      </c>
      <c r="E374" s="1" t="str">
        <f>'Raw Tickets'!$E$374</f>
        <v>Delivery Delay</v>
      </c>
      <c r="F374" s="1" t="str">
        <f>'Raw Tickets'!$F$374</f>
        <v>Medium</v>
      </c>
      <c r="G374" s="1">
        <f>'Raw Tickets'!$G$374</f>
        <v>11.6</v>
      </c>
      <c r="H374" s="1">
        <f>'Raw Tickets'!$H$374</f>
        <v>34</v>
      </c>
      <c r="I374" s="1">
        <f>'Raw Tickets'!$I$374</f>
        <v>5</v>
      </c>
      <c r="J374" s="6">
        <f>'Raw Tickets'!$J$374</f>
        <v>79.400000000000006</v>
      </c>
      <c r="K374" s="1" t="str">
        <f>'Raw Tickets'!$K$374</f>
        <v>Closed</v>
      </c>
      <c r="L374" s="1" t="str">
        <f>'Raw Tickets'!$L$374</f>
        <v>No</v>
      </c>
      <c r="M374" s="1" t="str">
        <f>'Raw Tickets'!$M$374</f>
        <v>No</v>
      </c>
      <c r="N374" s="1" t="str">
        <f>IFERROR(VLOOKUP(C374,Agents!$A$2:$E$26,2,FALSE),"")</f>
        <v>Kavya Patel</v>
      </c>
      <c r="O374" s="1" t="str">
        <f>IFERROR(INDEX(Agents!$D$2:$D$26,MATCH(C374,Agents!$A$2:$A$26,0)),"")</f>
        <v>Voice Support</v>
      </c>
      <c r="P374" s="1" t="str">
        <f>IFERROR(VLOOKUP(C374,Agents!$A$2:$E$26,3,FALSE),"")</f>
        <v>Kritika Shah</v>
      </c>
      <c r="Q374" s="1" t="str">
        <f>IFERROR(VLOOKUP(C374,Agents!$A$2:$E$26,5,FALSE),"")</f>
        <v>Noida</v>
      </c>
      <c r="R374" s="1">
        <f>IFERROR(VLOOKUP(F374,#REF!,2,FALSE),0)</f>
        <v>0</v>
      </c>
      <c r="S374" s="1" t="str">
        <f t="shared" si="30"/>
        <v>Breached</v>
      </c>
      <c r="T374" s="1" t="str">
        <f t="shared" si="31"/>
        <v>Late</v>
      </c>
      <c r="U374" s="1" t="str">
        <f t="shared" si="32"/>
        <v>2025-05</v>
      </c>
      <c r="V374" s="1" t="str">
        <f t="shared" si="33"/>
        <v>Good</v>
      </c>
      <c r="W374" s="1" t="str">
        <f t="shared" si="34"/>
        <v>Needs Coaching</v>
      </c>
      <c r="X374" s="1" t="str">
        <f t="shared" si="35"/>
        <v>Unique</v>
      </c>
    </row>
    <row r="375" spans="1:24" ht="15" customHeight="1">
      <c r="A375" s="1" t="str">
        <f>'Raw Tickets'!$A$375</f>
        <v>T00374</v>
      </c>
      <c r="B375" s="4">
        <f>'Raw Tickets'!$B$375</f>
        <v>45923</v>
      </c>
      <c r="C375" s="1" t="str">
        <f>'Raw Tickets'!$C$375</f>
        <v>A006</v>
      </c>
      <c r="D375" s="1" t="str">
        <f>'Raw Tickets'!$D$375</f>
        <v>Chat</v>
      </c>
      <c r="E375" s="1" t="str">
        <f>'Raw Tickets'!$E$375</f>
        <v>Refund</v>
      </c>
      <c r="F375" s="1" t="str">
        <f>'Raw Tickets'!$F$375</f>
        <v>Medium</v>
      </c>
      <c r="G375" s="1">
        <f>'Raw Tickets'!$G$375</f>
        <v>30</v>
      </c>
      <c r="H375" s="1">
        <f>'Raw Tickets'!$H$375</f>
        <v>8</v>
      </c>
      <c r="I375" s="1">
        <f>'Raw Tickets'!$I$375</f>
        <v>4</v>
      </c>
      <c r="J375" s="6">
        <f>'Raw Tickets'!$J$375</f>
        <v>75.3</v>
      </c>
      <c r="K375" s="1" t="str">
        <f>'Raw Tickets'!$K$375</f>
        <v>Closed</v>
      </c>
      <c r="L375" s="1" t="str">
        <f>'Raw Tickets'!$L$375</f>
        <v>No</v>
      </c>
      <c r="M375" s="1" t="str">
        <f>'Raw Tickets'!$M$375</f>
        <v>No</v>
      </c>
      <c r="N375" s="1" t="str">
        <f>IFERROR(VLOOKUP(C375,Agents!$A$2:$E$26,2,FALSE),"")</f>
        <v>Divya Shah</v>
      </c>
      <c r="O375" s="1" t="str">
        <f>IFERROR(INDEX(Agents!$D$2:$D$26,MATCH(C375,Agents!$A$2:$A$26,0)),"")</f>
        <v>Voice Support</v>
      </c>
      <c r="P375" s="1" t="str">
        <f>IFERROR(VLOOKUP(C375,Agents!$A$2:$E$26,3,FALSE),"")</f>
        <v>Kritika Shah</v>
      </c>
      <c r="Q375" s="1" t="str">
        <f>IFERROR(VLOOKUP(C375,Agents!$A$2:$E$26,5,FALSE),"")</f>
        <v>Gurugram</v>
      </c>
      <c r="R375" s="1">
        <f>IFERROR(VLOOKUP(F375,#REF!,2,FALSE),0)</f>
        <v>0</v>
      </c>
      <c r="S375" s="1" t="str">
        <f t="shared" si="30"/>
        <v>Breached</v>
      </c>
      <c r="T375" s="1" t="str">
        <f t="shared" si="31"/>
        <v>Within Target</v>
      </c>
      <c r="U375" s="1" t="str">
        <f t="shared" si="32"/>
        <v>2025-09</v>
      </c>
      <c r="V375" s="1" t="str">
        <f t="shared" si="33"/>
        <v>Good</v>
      </c>
      <c r="W375" s="1" t="str">
        <f t="shared" si="34"/>
        <v>Needs Coaching</v>
      </c>
      <c r="X375" s="1" t="str">
        <f t="shared" si="35"/>
        <v>Unique</v>
      </c>
    </row>
    <row r="376" spans="1:24" ht="15" customHeight="1">
      <c r="A376" s="1" t="str">
        <f>'Raw Tickets'!$A$376</f>
        <v>T00375</v>
      </c>
      <c r="B376" s="4">
        <f>'Raw Tickets'!$B$376</f>
        <v>45674</v>
      </c>
      <c r="C376" s="1" t="str">
        <f>'Raw Tickets'!$C$376</f>
        <v>A020</v>
      </c>
      <c r="D376" s="1" t="str">
        <f>'Raw Tickets'!$D$376</f>
        <v>Call</v>
      </c>
      <c r="E376" s="1" t="str">
        <f>'Raw Tickets'!$E$376</f>
        <v>Delivery Delay</v>
      </c>
      <c r="F376" s="1" t="str">
        <f>'Raw Tickets'!$F$376</f>
        <v>Low</v>
      </c>
      <c r="G376" s="1">
        <f>'Raw Tickets'!$G$376</f>
        <v>36.200000000000003</v>
      </c>
      <c r="H376" s="1">
        <f>'Raw Tickets'!$H$376</f>
        <v>25</v>
      </c>
      <c r="I376" s="1">
        <f>'Raw Tickets'!$I$376</f>
        <v>4</v>
      </c>
      <c r="J376" s="6">
        <f>'Raw Tickets'!$J$376</f>
        <v>80.400000000000006</v>
      </c>
      <c r="K376" s="1" t="str">
        <f>'Raw Tickets'!$K$376</f>
        <v>Closed</v>
      </c>
      <c r="L376" s="1" t="str">
        <f>'Raw Tickets'!$L$376</f>
        <v>No</v>
      </c>
      <c r="M376" s="1" t="str">
        <f>'Raw Tickets'!$M$376</f>
        <v>No</v>
      </c>
      <c r="N376" s="1" t="str">
        <f>IFERROR(VLOOKUP(C376,Agents!$A$2:$E$26,2,FALSE),"")</f>
        <v>Aditi Bansal</v>
      </c>
      <c r="O376" s="1" t="str">
        <f>IFERROR(INDEX(Agents!$D$2:$D$26,MATCH(C376,Agents!$A$2:$A$26,0)),"")</f>
        <v>Escalations</v>
      </c>
      <c r="P376" s="1" t="str">
        <f>IFERROR(VLOOKUP(C376,Agents!$A$2:$E$26,3,FALSE),"")</f>
        <v>Pallavi Rao</v>
      </c>
      <c r="Q376" s="1" t="str">
        <f>IFERROR(VLOOKUP(C376,Agents!$A$2:$E$26,5,FALSE),"")</f>
        <v>Noida</v>
      </c>
      <c r="R376" s="1">
        <f>IFERROR(VLOOKUP(F376,#REF!,2,FALSE),0)</f>
        <v>0</v>
      </c>
      <c r="S376" s="1" t="str">
        <f t="shared" si="30"/>
        <v>Breached</v>
      </c>
      <c r="T376" s="1" t="str">
        <f t="shared" si="31"/>
        <v>Within Target</v>
      </c>
      <c r="U376" s="1" t="str">
        <f t="shared" si="32"/>
        <v>2025-01</v>
      </c>
      <c r="V376" s="1" t="str">
        <f t="shared" si="33"/>
        <v>Good</v>
      </c>
      <c r="W376" s="1" t="str">
        <f t="shared" si="34"/>
        <v>Needs Coaching</v>
      </c>
      <c r="X376" s="1" t="str">
        <f t="shared" si="35"/>
        <v>Unique</v>
      </c>
    </row>
    <row r="377" spans="1:24" ht="15" customHeight="1">
      <c r="A377" s="1" t="str">
        <f>'Raw Tickets'!$A$377</f>
        <v>T00376</v>
      </c>
      <c r="B377" s="4">
        <f>'Raw Tickets'!$B$377</f>
        <v>45944</v>
      </c>
      <c r="C377" s="1" t="str">
        <f>'Raw Tickets'!$C$377</f>
        <v>A017</v>
      </c>
      <c r="D377" s="1" t="str">
        <f>'Raw Tickets'!$D$377</f>
        <v>Call</v>
      </c>
      <c r="E377" s="1" t="str">
        <f>'Raw Tickets'!$E$377</f>
        <v>Account Issue</v>
      </c>
      <c r="F377" s="1" t="str">
        <f>'Raw Tickets'!$F$377</f>
        <v>High</v>
      </c>
      <c r="G377" s="1">
        <f>'Raw Tickets'!$G$377</f>
        <v>14.7</v>
      </c>
      <c r="H377" s="1">
        <f>'Raw Tickets'!$H$377</f>
        <v>29</v>
      </c>
      <c r="I377" s="1">
        <f>'Raw Tickets'!$I$377</f>
        <v>4</v>
      </c>
      <c r="J377" s="6">
        <f>'Raw Tickets'!$J$377</f>
        <v>87.9</v>
      </c>
      <c r="K377" s="1" t="str">
        <f>'Raw Tickets'!$K$377</f>
        <v>Closed</v>
      </c>
      <c r="L377" s="1" t="str">
        <f>'Raw Tickets'!$L$377</f>
        <v>No</v>
      </c>
      <c r="M377" s="1" t="str">
        <f>'Raw Tickets'!$M$377</f>
        <v>No</v>
      </c>
      <c r="N377" s="1" t="str">
        <f>IFERROR(VLOOKUP(C377,Agents!$A$2:$E$26,2,FALSE),"")</f>
        <v>Varun Mehta</v>
      </c>
      <c r="O377" s="1" t="str">
        <f>IFERROR(INDEX(Agents!$D$2:$D$26,MATCH(C377,Agents!$A$2:$A$26,0)),"")</f>
        <v>Escalations</v>
      </c>
      <c r="P377" s="1" t="str">
        <f>IFERROR(VLOOKUP(C377,Agents!$A$2:$E$26,3,FALSE),"")</f>
        <v>Pallavi Rao</v>
      </c>
      <c r="Q377" s="1" t="str">
        <f>IFERROR(VLOOKUP(C377,Agents!$A$2:$E$26,5,FALSE),"")</f>
        <v>Gurugram</v>
      </c>
      <c r="R377" s="1">
        <f>IFERROR(VLOOKUP(F377,#REF!,2,FALSE),0)</f>
        <v>0</v>
      </c>
      <c r="S377" s="1" t="str">
        <f t="shared" si="30"/>
        <v>Breached</v>
      </c>
      <c r="T377" s="1" t="str">
        <f t="shared" si="31"/>
        <v>Within Target</v>
      </c>
      <c r="U377" s="1" t="str">
        <f t="shared" si="32"/>
        <v>2025-10</v>
      </c>
      <c r="V377" s="1" t="str">
        <f t="shared" si="33"/>
        <v>Good</v>
      </c>
      <c r="W377" s="1" t="str">
        <f t="shared" si="34"/>
        <v>Pass</v>
      </c>
      <c r="X377" s="1" t="str">
        <f t="shared" si="35"/>
        <v>Unique</v>
      </c>
    </row>
    <row r="378" spans="1:24" ht="15" customHeight="1">
      <c r="A378" s="1" t="str">
        <f>'Raw Tickets'!$A$378</f>
        <v>T00377</v>
      </c>
      <c r="B378" s="4">
        <f>'Raw Tickets'!$B$378</f>
        <v>45889</v>
      </c>
      <c r="C378" s="1" t="str">
        <f>'Raw Tickets'!$C$378</f>
        <v>A023</v>
      </c>
      <c r="D378" s="1" t="str">
        <f>'Raw Tickets'!$D$378</f>
        <v>Call</v>
      </c>
      <c r="E378" s="1" t="str">
        <f>'Raw Tickets'!$E$378</f>
        <v>Order Cancellation</v>
      </c>
      <c r="F378" s="1" t="str">
        <f>'Raw Tickets'!$F$378</f>
        <v>Low</v>
      </c>
      <c r="G378" s="1">
        <f>'Raw Tickets'!$G$378</f>
        <v>38.299999999999997</v>
      </c>
      <c r="H378" s="1">
        <f>'Raw Tickets'!$H$378</f>
        <v>37</v>
      </c>
      <c r="I378" s="1">
        <f>'Raw Tickets'!$I$378</f>
        <v>4</v>
      </c>
      <c r="J378" s="6">
        <f>'Raw Tickets'!$J$378</f>
        <v>84.2</v>
      </c>
      <c r="K378" s="1" t="str">
        <f>'Raw Tickets'!$K$378</f>
        <v>Closed</v>
      </c>
      <c r="L378" s="1" t="str">
        <f>'Raw Tickets'!$L$378</f>
        <v>No</v>
      </c>
      <c r="M378" s="1" t="str">
        <f>'Raw Tickets'!$M$378</f>
        <v>No</v>
      </c>
      <c r="N378" s="1" t="str">
        <f>IFERROR(VLOOKUP(C378,Agents!$A$2:$E$26,2,FALSE),"")</f>
        <v>Ishita Verma</v>
      </c>
      <c r="O378" s="1" t="str">
        <f>IFERROR(INDEX(Agents!$D$2:$D$26,MATCH(C378,Agents!$A$2:$A$26,0)),"")</f>
        <v>Seller Support</v>
      </c>
      <c r="P378" s="1" t="str">
        <f>IFERROR(VLOOKUP(C378,Agents!$A$2:$E$26,3,FALSE),"")</f>
        <v>Vivek Jain</v>
      </c>
      <c r="Q378" s="1" t="str">
        <f>IFERROR(VLOOKUP(C378,Agents!$A$2:$E$26,5,FALSE),"")</f>
        <v>Noida</v>
      </c>
      <c r="R378" s="1">
        <f>IFERROR(VLOOKUP(F378,#REF!,2,FALSE),0)</f>
        <v>0</v>
      </c>
      <c r="S378" s="1" t="str">
        <f t="shared" si="30"/>
        <v>Breached</v>
      </c>
      <c r="T378" s="1" t="str">
        <f t="shared" si="31"/>
        <v>Late</v>
      </c>
      <c r="U378" s="1" t="str">
        <f t="shared" si="32"/>
        <v>2025-08</v>
      </c>
      <c r="V378" s="1" t="str">
        <f t="shared" si="33"/>
        <v>Good</v>
      </c>
      <c r="W378" s="1" t="str">
        <f t="shared" si="34"/>
        <v>Needs Coaching</v>
      </c>
      <c r="X378" s="1" t="str">
        <f t="shared" si="35"/>
        <v>Unique</v>
      </c>
    </row>
    <row r="379" spans="1:24" ht="15" customHeight="1">
      <c r="A379" s="1" t="str">
        <f>'Raw Tickets'!$A$379</f>
        <v>T00378</v>
      </c>
      <c r="B379" s="4">
        <f>'Raw Tickets'!$B$379</f>
        <v>45803</v>
      </c>
      <c r="C379" s="1" t="str">
        <f>'Raw Tickets'!$C$379</f>
        <v>A001</v>
      </c>
      <c r="D379" s="1" t="str">
        <f>'Raw Tickets'!$D$379</f>
        <v>Call</v>
      </c>
      <c r="E379" s="1" t="str">
        <f>'Raw Tickets'!$E$379</f>
        <v>Order Cancellation</v>
      </c>
      <c r="F379" s="1" t="str">
        <f>'Raw Tickets'!$F$379</f>
        <v>High</v>
      </c>
      <c r="G379" s="1">
        <f>'Raw Tickets'!$G$379</f>
        <v>4.9000000000000004</v>
      </c>
      <c r="H379" s="1">
        <f>'Raw Tickets'!$H$379</f>
        <v>11</v>
      </c>
      <c r="I379" s="1">
        <f>'Raw Tickets'!$I$379</f>
        <v>5</v>
      </c>
      <c r="J379" s="6">
        <f>'Raw Tickets'!$J$379</f>
        <v>87.2</v>
      </c>
      <c r="K379" s="1" t="str">
        <f>'Raw Tickets'!$K$379</f>
        <v>Closed</v>
      </c>
      <c r="L379" s="1" t="str">
        <f>'Raw Tickets'!$L$379</f>
        <v>No</v>
      </c>
      <c r="M379" s="1" t="str">
        <f>'Raw Tickets'!$M$379</f>
        <v>No</v>
      </c>
      <c r="N379" s="1" t="str">
        <f>IFERROR(VLOOKUP(C379,Agents!$A$2:$E$26,2,FALSE),"")</f>
        <v>Ishita Patel</v>
      </c>
      <c r="O379" s="1" t="str">
        <f>IFERROR(INDEX(Agents!$D$2:$D$26,MATCH(C379,Agents!$A$2:$A$26,0)),"")</f>
        <v>Email Support</v>
      </c>
      <c r="P379" s="1" t="str">
        <f>IFERROR(VLOOKUP(C379,Agents!$A$2:$E$26,3,FALSE),"")</f>
        <v>Aman Verma</v>
      </c>
      <c r="Q379" s="1" t="str">
        <f>IFERROR(VLOOKUP(C379,Agents!$A$2:$E$26,5,FALSE),"")</f>
        <v>Gurugram</v>
      </c>
      <c r="R379" s="1">
        <f>IFERROR(VLOOKUP(F379,#REF!,2,FALSE),0)</f>
        <v>0</v>
      </c>
      <c r="S379" s="1" t="str">
        <f t="shared" si="30"/>
        <v>Breached</v>
      </c>
      <c r="T379" s="1" t="str">
        <f t="shared" si="31"/>
        <v>Within Target</v>
      </c>
      <c r="U379" s="1" t="str">
        <f t="shared" si="32"/>
        <v>2025-05</v>
      </c>
      <c r="V379" s="1" t="str">
        <f t="shared" si="33"/>
        <v>Good</v>
      </c>
      <c r="W379" s="1" t="str">
        <f t="shared" si="34"/>
        <v>Pass</v>
      </c>
      <c r="X379" s="1" t="str">
        <f t="shared" si="35"/>
        <v>Unique</v>
      </c>
    </row>
    <row r="380" spans="1:24" ht="15" customHeight="1">
      <c r="A380" s="1" t="str">
        <f>'Raw Tickets'!$A$380</f>
        <v>T00379</v>
      </c>
      <c r="B380" s="4">
        <f>'Raw Tickets'!$B$380</f>
        <v>45974</v>
      </c>
      <c r="C380" s="1" t="str">
        <f>'Raw Tickets'!$C$380</f>
        <v>A018</v>
      </c>
      <c r="D380" s="1" t="str">
        <f>'Raw Tickets'!$D$380</f>
        <v>Email</v>
      </c>
      <c r="E380" s="1" t="str">
        <f>'Raw Tickets'!$E$380</f>
        <v>Order Cancellation</v>
      </c>
      <c r="F380" s="1" t="str">
        <f>'Raw Tickets'!$F$380</f>
        <v>Medium</v>
      </c>
      <c r="G380" s="1">
        <f>'Raw Tickets'!$G$380</f>
        <v>41.2</v>
      </c>
      <c r="H380" s="1">
        <f>'Raw Tickets'!$H$380</f>
        <v>3</v>
      </c>
      <c r="I380" s="1">
        <f>'Raw Tickets'!$I$380</f>
        <v>1</v>
      </c>
      <c r="J380" s="6">
        <f>'Raw Tickets'!$J$380</f>
        <v>85.1</v>
      </c>
      <c r="K380" s="1" t="str">
        <f>'Raw Tickets'!$K$380</f>
        <v>Closed</v>
      </c>
      <c r="L380" s="1" t="str">
        <f>'Raw Tickets'!$L$380</f>
        <v>No</v>
      </c>
      <c r="M380" s="1" t="str">
        <f>'Raw Tickets'!$M$380</f>
        <v>No</v>
      </c>
      <c r="N380" s="1" t="str">
        <f>IFERROR(VLOOKUP(C380,Agents!$A$2:$E$26,2,FALSE),"")</f>
        <v>Rahul Verma</v>
      </c>
      <c r="O380" s="1" t="str">
        <f>IFERROR(INDEX(Agents!$D$2:$D$26,MATCH(C380,Agents!$A$2:$A$26,0)),"")</f>
        <v>Escalations</v>
      </c>
      <c r="P380" s="1" t="str">
        <f>IFERROR(VLOOKUP(C380,Agents!$A$2:$E$26,3,FALSE),"")</f>
        <v>Pallavi Rao</v>
      </c>
      <c r="Q380" s="1" t="str">
        <f>IFERROR(VLOOKUP(C380,Agents!$A$2:$E$26,5,FALSE),"")</f>
        <v>Hyderabad</v>
      </c>
      <c r="R380" s="1">
        <f>IFERROR(VLOOKUP(F380,#REF!,2,FALSE),0)</f>
        <v>0</v>
      </c>
      <c r="S380" s="1" t="str">
        <f t="shared" si="30"/>
        <v>Breached</v>
      </c>
      <c r="T380" s="1" t="str">
        <f t="shared" si="31"/>
        <v>Within Target</v>
      </c>
      <c r="U380" s="1" t="str">
        <f t="shared" si="32"/>
        <v>2025-11</v>
      </c>
      <c r="V380" s="1" t="str">
        <f t="shared" si="33"/>
        <v>Poor</v>
      </c>
      <c r="W380" s="1" t="str">
        <f t="shared" si="34"/>
        <v>Pass</v>
      </c>
      <c r="X380" s="1" t="str">
        <f t="shared" si="35"/>
        <v>Unique</v>
      </c>
    </row>
    <row r="381" spans="1:24" ht="15" customHeight="1">
      <c r="A381" s="1" t="str">
        <f>'Raw Tickets'!$A$381</f>
        <v>T00380</v>
      </c>
      <c r="B381" s="4">
        <f>'Raw Tickets'!$B$381</f>
        <v>45976</v>
      </c>
      <c r="C381" s="1" t="str">
        <f>'Raw Tickets'!$C$381</f>
        <v>A018</v>
      </c>
      <c r="D381" s="1" t="str">
        <f>'Raw Tickets'!$D$381</f>
        <v>Call</v>
      </c>
      <c r="E381" s="1" t="str">
        <f>'Raw Tickets'!$E$381</f>
        <v>Account Issue</v>
      </c>
      <c r="F381" s="1" t="str">
        <f>'Raw Tickets'!$F$381</f>
        <v>Low</v>
      </c>
      <c r="G381" s="1">
        <f>'Raw Tickets'!$G$381</f>
        <v>18.899999999999999</v>
      </c>
      <c r="H381" s="1">
        <f>'Raw Tickets'!$H$381</f>
        <v>46</v>
      </c>
      <c r="I381" s="1">
        <f>'Raw Tickets'!$I$381</f>
        <v>2</v>
      </c>
      <c r="J381" s="6">
        <f>'Raw Tickets'!$J$381</f>
        <v>79.099999999999994</v>
      </c>
      <c r="K381" s="1" t="str">
        <f>'Raw Tickets'!$K$381</f>
        <v>Closed</v>
      </c>
      <c r="L381" s="1" t="str">
        <f>'Raw Tickets'!$L$381</f>
        <v>No</v>
      </c>
      <c r="M381" s="1" t="str">
        <f>'Raw Tickets'!$M$381</f>
        <v>No</v>
      </c>
      <c r="N381" s="1" t="str">
        <f>IFERROR(VLOOKUP(C381,Agents!$A$2:$E$26,2,FALSE),"")</f>
        <v>Rahul Verma</v>
      </c>
      <c r="O381" s="1" t="str">
        <f>IFERROR(INDEX(Agents!$D$2:$D$26,MATCH(C381,Agents!$A$2:$A$26,0)),"")</f>
        <v>Escalations</v>
      </c>
      <c r="P381" s="1" t="str">
        <f>IFERROR(VLOOKUP(C381,Agents!$A$2:$E$26,3,FALSE),"")</f>
        <v>Pallavi Rao</v>
      </c>
      <c r="Q381" s="1" t="str">
        <f>IFERROR(VLOOKUP(C381,Agents!$A$2:$E$26,5,FALSE),"")</f>
        <v>Hyderabad</v>
      </c>
      <c r="R381" s="1">
        <f>IFERROR(VLOOKUP(F381,#REF!,2,FALSE),0)</f>
        <v>0</v>
      </c>
      <c r="S381" s="1" t="str">
        <f t="shared" si="30"/>
        <v>Breached</v>
      </c>
      <c r="T381" s="1" t="str">
        <f t="shared" si="31"/>
        <v>Late</v>
      </c>
      <c r="U381" s="1" t="str">
        <f t="shared" si="32"/>
        <v>2025-11</v>
      </c>
      <c r="V381" s="1" t="str">
        <f t="shared" si="33"/>
        <v>Poor</v>
      </c>
      <c r="W381" s="1" t="str">
        <f t="shared" si="34"/>
        <v>Needs Coaching</v>
      </c>
      <c r="X381" s="1" t="str">
        <f t="shared" si="35"/>
        <v>Unique</v>
      </c>
    </row>
    <row r="382" spans="1:24" ht="15" customHeight="1">
      <c r="A382" s="1" t="str">
        <f>'Raw Tickets'!$A$382</f>
        <v>T00381</v>
      </c>
      <c r="B382" s="4">
        <f>'Raw Tickets'!$B$382</f>
        <v>45936</v>
      </c>
      <c r="C382" s="1" t="str">
        <f>'Raw Tickets'!$C$382</f>
        <v>A021</v>
      </c>
      <c r="D382" s="1" t="str">
        <f>'Raw Tickets'!$D$382</f>
        <v>Chat</v>
      </c>
      <c r="E382" s="1" t="str">
        <f>'Raw Tickets'!$E$382</f>
        <v>Order Cancellation</v>
      </c>
      <c r="F382" s="1" t="str">
        <f>'Raw Tickets'!$F$382</f>
        <v>Medium</v>
      </c>
      <c r="G382" s="1">
        <f>'Raw Tickets'!$G$382</f>
        <v>34.299999999999997</v>
      </c>
      <c r="H382" s="1">
        <f>'Raw Tickets'!$H$382</f>
        <v>26</v>
      </c>
      <c r="I382" s="1">
        <f>'Raw Tickets'!$I$382</f>
        <v>4</v>
      </c>
      <c r="J382" s="6">
        <f>'Raw Tickets'!$J$382</f>
        <v>82</v>
      </c>
      <c r="K382" s="1" t="str">
        <f>'Raw Tickets'!$K$382</f>
        <v>Closed</v>
      </c>
      <c r="L382" s="1" t="str">
        <f>'Raw Tickets'!$L$382</f>
        <v>No</v>
      </c>
      <c r="M382" s="1" t="str">
        <f>'Raw Tickets'!$M$382</f>
        <v>No</v>
      </c>
      <c r="N382" s="1" t="str">
        <f>IFERROR(VLOOKUP(C382,Agents!$A$2:$E$26,2,FALSE),"")</f>
        <v>Nikhil Bansal</v>
      </c>
      <c r="O382" s="1" t="str">
        <f>IFERROR(INDEX(Agents!$D$2:$D$26,MATCH(C382,Agents!$A$2:$A$26,0)),"")</f>
        <v>Seller Support</v>
      </c>
      <c r="P382" s="1" t="str">
        <f>IFERROR(VLOOKUP(C382,Agents!$A$2:$E$26,3,FALSE),"")</f>
        <v>Vivek Jain</v>
      </c>
      <c r="Q382" s="1" t="str">
        <f>IFERROR(VLOOKUP(C382,Agents!$A$2:$E$26,5,FALSE),"")</f>
        <v>Bengaluru</v>
      </c>
      <c r="R382" s="1">
        <f>IFERROR(VLOOKUP(F382,#REF!,2,FALSE),0)</f>
        <v>0</v>
      </c>
      <c r="S382" s="1" t="str">
        <f t="shared" si="30"/>
        <v>Breached</v>
      </c>
      <c r="T382" s="1" t="str">
        <f t="shared" si="31"/>
        <v>Within Target</v>
      </c>
      <c r="U382" s="1" t="str">
        <f t="shared" si="32"/>
        <v>2025-10</v>
      </c>
      <c r="V382" s="1" t="str">
        <f t="shared" si="33"/>
        <v>Good</v>
      </c>
      <c r="W382" s="1" t="str">
        <f t="shared" si="34"/>
        <v>Needs Coaching</v>
      </c>
      <c r="X382" s="1" t="str">
        <f t="shared" si="35"/>
        <v>Unique</v>
      </c>
    </row>
    <row r="383" spans="1:24" ht="15" customHeight="1">
      <c r="A383" s="1" t="str">
        <f>'Raw Tickets'!$A$383</f>
        <v>T00382</v>
      </c>
      <c r="B383" s="4">
        <f>'Raw Tickets'!$B$383</f>
        <v>45881</v>
      </c>
      <c r="C383" s="1" t="str">
        <f>'Raw Tickets'!$C$383</f>
        <v>A003</v>
      </c>
      <c r="D383" s="1" t="str">
        <f>'Raw Tickets'!$D$383</f>
        <v>Chat</v>
      </c>
      <c r="E383" s="1" t="str">
        <f>'Raw Tickets'!$E$383</f>
        <v>Order Cancellation</v>
      </c>
      <c r="F383" s="1" t="str">
        <f>'Raw Tickets'!$F$383</f>
        <v>High</v>
      </c>
      <c r="G383" s="1">
        <f>'Raw Tickets'!$G$383</f>
        <v>15</v>
      </c>
      <c r="H383" s="1">
        <f>'Raw Tickets'!$H$383</f>
        <v>8</v>
      </c>
      <c r="I383" s="1">
        <f>'Raw Tickets'!$I$383</f>
        <v>1</v>
      </c>
      <c r="J383" s="6">
        <f>'Raw Tickets'!$J$383</f>
        <v>97.8</v>
      </c>
      <c r="K383" s="1" t="str">
        <f>'Raw Tickets'!$K$383</f>
        <v>Closed</v>
      </c>
      <c r="L383" s="1" t="str">
        <f>'Raw Tickets'!$L$383</f>
        <v>No</v>
      </c>
      <c r="M383" s="1" t="str">
        <f>'Raw Tickets'!$M$383</f>
        <v>Yes</v>
      </c>
      <c r="N383" s="1" t="str">
        <f>IFERROR(VLOOKUP(C383,Agents!$A$2:$E$26,2,FALSE),"")</f>
        <v>Kabir Verma</v>
      </c>
      <c r="O383" s="1" t="str">
        <f>IFERROR(INDEX(Agents!$D$2:$D$26,MATCH(C383,Agents!$A$2:$A$26,0)),"")</f>
        <v>Email Support</v>
      </c>
      <c r="P383" s="1" t="str">
        <f>IFERROR(VLOOKUP(C383,Agents!$A$2:$E$26,3,FALSE),"")</f>
        <v>Aman Verma</v>
      </c>
      <c r="Q383" s="1" t="str">
        <f>IFERROR(VLOOKUP(C383,Agents!$A$2:$E$26,5,FALSE),"")</f>
        <v>Gurugram</v>
      </c>
      <c r="R383" s="1">
        <f>IFERROR(VLOOKUP(F383,#REF!,2,FALSE),0)</f>
        <v>0</v>
      </c>
      <c r="S383" s="1" t="str">
        <f t="shared" si="30"/>
        <v>Breached</v>
      </c>
      <c r="T383" s="1" t="str">
        <f t="shared" si="31"/>
        <v>Within Target</v>
      </c>
      <c r="U383" s="1" t="str">
        <f t="shared" si="32"/>
        <v>2025-08</v>
      </c>
      <c r="V383" s="1" t="str">
        <f t="shared" si="33"/>
        <v>Poor</v>
      </c>
      <c r="W383" s="1" t="str">
        <f t="shared" si="34"/>
        <v>Pass</v>
      </c>
      <c r="X383" s="1" t="str">
        <f t="shared" si="35"/>
        <v>Unique</v>
      </c>
    </row>
    <row r="384" spans="1:24" ht="15" customHeight="1">
      <c r="A384" s="1" t="str">
        <f>'Raw Tickets'!$A$384</f>
        <v>T00383</v>
      </c>
      <c r="B384" s="4">
        <f>'Raw Tickets'!$B$384</f>
        <v>45965</v>
      </c>
      <c r="C384" s="1" t="str">
        <f>'Raw Tickets'!$C$384</f>
        <v>A016</v>
      </c>
      <c r="D384" s="1" t="str">
        <f>'Raw Tickets'!$D$384</f>
        <v>Chat</v>
      </c>
      <c r="E384" s="1" t="str">
        <f>'Raw Tickets'!$E$384</f>
        <v>Account Issue</v>
      </c>
      <c r="F384" s="1" t="str">
        <f>'Raw Tickets'!$F$384</f>
        <v>Medium</v>
      </c>
      <c r="G384" s="1">
        <f>'Raw Tickets'!$G$384</f>
        <v>38.5</v>
      </c>
      <c r="H384" s="1">
        <f>'Raw Tickets'!$H$384</f>
        <v>9</v>
      </c>
      <c r="I384" s="1">
        <f>'Raw Tickets'!$I$384</f>
        <v>5</v>
      </c>
      <c r="J384" s="6">
        <f>'Raw Tickets'!$J$384</f>
        <v>73.8</v>
      </c>
      <c r="K384" s="1" t="str">
        <f>'Raw Tickets'!$K$384</f>
        <v>Closed</v>
      </c>
      <c r="L384" s="1" t="str">
        <f>'Raw Tickets'!$L$384</f>
        <v>No</v>
      </c>
      <c r="M384" s="1" t="str">
        <f>'Raw Tickets'!$M$384</f>
        <v>Yes</v>
      </c>
      <c r="N384" s="1" t="str">
        <f>IFERROR(VLOOKUP(C384,Agents!$A$2:$E$26,2,FALSE),"")</f>
        <v>Pooja Bansal</v>
      </c>
      <c r="O384" s="1" t="str">
        <f>IFERROR(INDEX(Agents!$D$2:$D$26,MATCH(C384,Agents!$A$2:$A$26,0)),"")</f>
        <v>Escalations</v>
      </c>
      <c r="P384" s="1" t="str">
        <f>IFERROR(VLOOKUP(C384,Agents!$A$2:$E$26,3,FALSE),"")</f>
        <v>Pallavi Rao</v>
      </c>
      <c r="Q384" s="1" t="str">
        <f>IFERROR(VLOOKUP(C384,Agents!$A$2:$E$26,5,FALSE),"")</f>
        <v>Hyderabad</v>
      </c>
      <c r="R384" s="1">
        <f>IFERROR(VLOOKUP(F384,#REF!,2,FALSE),0)</f>
        <v>0</v>
      </c>
      <c r="S384" s="1" t="str">
        <f t="shared" si="30"/>
        <v>Breached</v>
      </c>
      <c r="T384" s="1" t="str">
        <f t="shared" si="31"/>
        <v>Within Target</v>
      </c>
      <c r="U384" s="1" t="str">
        <f t="shared" si="32"/>
        <v>2025-11</v>
      </c>
      <c r="V384" s="1" t="str">
        <f t="shared" si="33"/>
        <v>Good</v>
      </c>
      <c r="W384" s="1" t="str">
        <f t="shared" si="34"/>
        <v>Needs Coaching</v>
      </c>
      <c r="X384" s="1" t="str">
        <f t="shared" si="35"/>
        <v>Unique</v>
      </c>
    </row>
    <row r="385" spans="1:24" ht="15" customHeight="1">
      <c r="A385" s="1" t="str">
        <f>'Raw Tickets'!$A$385</f>
        <v>T00384</v>
      </c>
      <c r="B385" s="4">
        <f>'Raw Tickets'!$B$385</f>
        <v>45748</v>
      </c>
      <c r="C385" s="1" t="str">
        <f>'Raw Tickets'!$C$385</f>
        <v>A015</v>
      </c>
      <c r="D385" s="1" t="str">
        <f>'Raw Tickets'!$D$385</f>
        <v>Call</v>
      </c>
      <c r="E385" s="1" t="str">
        <f>'Raw Tickets'!$E$385</f>
        <v>Product Quality</v>
      </c>
      <c r="F385" s="1" t="str">
        <f>'Raw Tickets'!$F$385</f>
        <v>Medium</v>
      </c>
      <c r="G385" s="1">
        <f>'Raw Tickets'!$G$385</f>
        <v>10.9</v>
      </c>
      <c r="H385" s="1">
        <f>'Raw Tickets'!$H$385</f>
        <v>45</v>
      </c>
      <c r="I385" s="1">
        <f>'Raw Tickets'!$I$385</f>
        <v>5</v>
      </c>
      <c r="J385" s="6">
        <f>'Raw Tickets'!$J$385</f>
        <v>98.1</v>
      </c>
      <c r="K385" s="1" t="str">
        <f>'Raw Tickets'!$K$385</f>
        <v>Closed</v>
      </c>
      <c r="L385" s="1" t="str">
        <f>'Raw Tickets'!$L$385</f>
        <v>No</v>
      </c>
      <c r="M385" s="1" t="str">
        <f>'Raw Tickets'!$M$385</f>
        <v>No</v>
      </c>
      <c r="N385" s="1" t="str">
        <f>IFERROR(VLOOKUP(C385,Agents!$A$2:$E$26,2,FALSE),"")</f>
        <v>Neha Jain</v>
      </c>
      <c r="O385" s="1" t="str">
        <f>IFERROR(INDEX(Agents!$D$2:$D$26,MATCH(C385,Agents!$A$2:$A$26,0)),"")</f>
        <v>Chat Support</v>
      </c>
      <c r="P385" s="1" t="str">
        <f>IFERROR(VLOOKUP(C385,Agents!$A$2:$E$26,3,FALSE),"")</f>
        <v>Nitin Gupta</v>
      </c>
      <c r="Q385" s="1" t="str">
        <f>IFERROR(VLOOKUP(C385,Agents!$A$2:$E$26,5,FALSE),"")</f>
        <v>Bengaluru</v>
      </c>
      <c r="R385" s="1">
        <f>IFERROR(VLOOKUP(F385,#REF!,2,FALSE),0)</f>
        <v>0</v>
      </c>
      <c r="S385" s="1" t="str">
        <f t="shared" si="30"/>
        <v>Breached</v>
      </c>
      <c r="T385" s="1" t="str">
        <f t="shared" si="31"/>
        <v>Late</v>
      </c>
      <c r="U385" s="1" t="str">
        <f t="shared" si="32"/>
        <v>2025-04</v>
      </c>
      <c r="V385" s="1" t="str">
        <f t="shared" si="33"/>
        <v>Good</v>
      </c>
      <c r="W385" s="1" t="str">
        <f t="shared" si="34"/>
        <v>Pass</v>
      </c>
      <c r="X385" s="1" t="str">
        <f t="shared" si="35"/>
        <v>Unique</v>
      </c>
    </row>
    <row r="386" spans="1:24" ht="15" customHeight="1">
      <c r="A386" s="1" t="str">
        <f>'Raw Tickets'!$A$386</f>
        <v>T00385</v>
      </c>
      <c r="B386" s="4">
        <f>'Raw Tickets'!$B$386</f>
        <v>45788</v>
      </c>
      <c r="C386" s="1" t="str">
        <f>'Raw Tickets'!$C$386</f>
        <v>A020</v>
      </c>
      <c r="D386" s="1" t="str">
        <f>'Raw Tickets'!$D$386</f>
        <v>Call</v>
      </c>
      <c r="E386" s="1" t="str">
        <f>'Raw Tickets'!$E$386</f>
        <v>Refund</v>
      </c>
      <c r="F386" s="1" t="str">
        <f>'Raw Tickets'!$F$386</f>
        <v>Low</v>
      </c>
      <c r="G386" s="1">
        <f>'Raw Tickets'!$G$386</f>
        <v>49.1</v>
      </c>
      <c r="H386" s="1">
        <f>'Raw Tickets'!$H$386</f>
        <v>30</v>
      </c>
      <c r="I386" s="1">
        <f>'Raw Tickets'!$I$386</f>
        <v>4</v>
      </c>
      <c r="J386" s="6">
        <f>'Raw Tickets'!$J$386</f>
        <v>86.6</v>
      </c>
      <c r="K386" s="1" t="str">
        <f>'Raw Tickets'!$K$386</f>
        <v>Closed</v>
      </c>
      <c r="L386" s="1" t="str">
        <f>'Raw Tickets'!$L$386</f>
        <v>No</v>
      </c>
      <c r="M386" s="1" t="str">
        <f>'Raw Tickets'!$M$386</f>
        <v>No</v>
      </c>
      <c r="N386" s="1" t="str">
        <f>IFERROR(VLOOKUP(C386,Agents!$A$2:$E$26,2,FALSE),"")</f>
        <v>Aditi Bansal</v>
      </c>
      <c r="O386" s="1" t="str">
        <f>IFERROR(INDEX(Agents!$D$2:$D$26,MATCH(C386,Agents!$A$2:$A$26,0)),"")</f>
        <v>Escalations</v>
      </c>
      <c r="P386" s="1" t="str">
        <f>IFERROR(VLOOKUP(C386,Agents!$A$2:$E$26,3,FALSE),"")</f>
        <v>Pallavi Rao</v>
      </c>
      <c r="Q386" s="1" t="str">
        <f>IFERROR(VLOOKUP(C386,Agents!$A$2:$E$26,5,FALSE),"")</f>
        <v>Noida</v>
      </c>
      <c r="R386" s="1">
        <f>IFERROR(VLOOKUP(F386,#REF!,2,FALSE),0)</f>
        <v>0</v>
      </c>
      <c r="S386" s="1" t="str">
        <f t="shared" ref="S386:S449" si="36">IF(G386&lt;=R386,"Met","Breached")</f>
        <v>Breached</v>
      </c>
      <c r="T386" s="1" t="str">
        <f t="shared" ref="T386:T449" si="37">IF(H386&lt;=30,"Within Target","Late")</f>
        <v>Within Target</v>
      </c>
      <c r="U386" s="1" t="str">
        <f t="shared" ref="U386:U449" si="38">TEXT(B386,"yyyy-mm")</f>
        <v>2025-05</v>
      </c>
      <c r="V386" s="1" t="str">
        <f t="shared" ref="V386:V449" si="39">IF(I386&gt;=4,"Good",IF(I386=3,"Average","Poor"))</f>
        <v>Good</v>
      </c>
      <c r="W386" s="1" t="str">
        <f t="shared" ref="W386:W449" si="40">IF(J386&gt;=85,"Pass","Needs Coaching")</f>
        <v>Pass</v>
      </c>
      <c r="X386" s="1" t="str">
        <f t="shared" ref="X386:X449" si="41">IF(COUNTIF($A$2:$A$501,A386)&gt;1,"Duplicate","Unique")</f>
        <v>Unique</v>
      </c>
    </row>
    <row r="387" spans="1:24" ht="15" customHeight="1">
      <c r="A387" s="1" t="str">
        <f>'Raw Tickets'!$A$387</f>
        <v>T00386</v>
      </c>
      <c r="B387" s="4">
        <f>'Raw Tickets'!$B$387</f>
        <v>45915</v>
      </c>
      <c r="C387" s="1" t="str">
        <f>'Raw Tickets'!$C$387</f>
        <v>A020</v>
      </c>
      <c r="D387" s="1" t="str">
        <f>'Raw Tickets'!$D$387</f>
        <v>Chat</v>
      </c>
      <c r="E387" s="1" t="str">
        <f>'Raw Tickets'!$E$387</f>
        <v>Payment Failure</v>
      </c>
      <c r="F387" s="1" t="str">
        <f>'Raw Tickets'!$F$387</f>
        <v>Medium</v>
      </c>
      <c r="G387" s="1">
        <f>'Raw Tickets'!$G$387</f>
        <v>29.1</v>
      </c>
      <c r="H387" s="1">
        <f>'Raw Tickets'!$H$387</f>
        <v>61</v>
      </c>
      <c r="I387" s="1">
        <f>'Raw Tickets'!$I$387</f>
        <v>2</v>
      </c>
      <c r="J387" s="6">
        <f>'Raw Tickets'!$J$387</f>
        <v>88.7</v>
      </c>
      <c r="K387" s="1" t="str">
        <f>'Raw Tickets'!$K$387</f>
        <v>Closed</v>
      </c>
      <c r="L387" s="1" t="str">
        <f>'Raw Tickets'!$L$387</f>
        <v>No</v>
      </c>
      <c r="M387" s="1" t="str">
        <f>'Raw Tickets'!$M$387</f>
        <v>No</v>
      </c>
      <c r="N387" s="1" t="str">
        <f>IFERROR(VLOOKUP(C387,Agents!$A$2:$E$26,2,FALSE),"")</f>
        <v>Aditi Bansal</v>
      </c>
      <c r="O387" s="1" t="str">
        <f>IFERROR(INDEX(Agents!$D$2:$D$26,MATCH(C387,Agents!$A$2:$A$26,0)),"")</f>
        <v>Escalations</v>
      </c>
      <c r="P387" s="1" t="str">
        <f>IFERROR(VLOOKUP(C387,Agents!$A$2:$E$26,3,FALSE),"")</f>
        <v>Pallavi Rao</v>
      </c>
      <c r="Q387" s="1" t="str">
        <f>IFERROR(VLOOKUP(C387,Agents!$A$2:$E$26,5,FALSE),"")</f>
        <v>Noida</v>
      </c>
      <c r="R387" s="1">
        <f>IFERROR(VLOOKUP(F387,#REF!,2,FALSE),0)</f>
        <v>0</v>
      </c>
      <c r="S387" s="1" t="str">
        <f t="shared" si="36"/>
        <v>Breached</v>
      </c>
      <c r="T387" s="1" t="str">
        <f t="shared" si="37"/>
        <v>Late</v>
      </c>
      <c r="U387" s="1" t="str">
        <f t="shared" si="38"/>
        <v>2025-09</v>
      </c>
      <c r="V387" s="1" t="str">
        <f t="shared" si="39"/>
        <v>Poor</v>
      </c>
      <c r="W387" s="1" t="str">
        <f t="shared" si="40"/>
        <v>Pass</v>
      </c>
      <c r="X387" s="1" t="str">
        <f t="shared" si="41"/>
        <v>Unique</v>
      </c>
    </row>
    <row r="388" spans="1:24" ht="15" customHeight="1">
      <c r="A388" s="1" t="str">
        <f>'Raw Tickets'!$A$388</f>
        <v>T00387</v>
      </c>
      <c r="B388" s="4">
        <f>'Raw Tickets'!$B$388</f>
        <v>45849</v>
      </c>
      <c r="C388" s="1" t="str">
        <f>'Raw Tickets'!$C$388</f>
        <v>A003</v>
      </c>
      <c r="D388" s="1" t="str">
        <f>'Raw Tickets'!$D$388</f>
        <v>Email</v>
      </c>
      <c r="E388" s="1" t="str">
        <f>'Raw Tickets'!$E$388</f>
        <v>Payment Failure</v>
      </c>
      <c r="F388" s="1" t="str">
        <f>'Raw Tickets'!$F$388</f>
        <v>High</v>
      </c>
      <c r="G388" s="1">
        <f>'Raw Tickets'!$G$388</f>
        <v>15.8</v>
      </c>
      <c r="H388" s="1">
        <f>'Raw Tickets'!$H$388</f>
        <v>5</v>
      </c>
      <c r="I388" s="1">
        <f>'Raw Tickets'!$I$388</f>
        <v>5</v>
      </c>
      <c r="J388" s="6">
        <f>'Raw Tickets'!$J$388</f>
        <v>85.1</v>
      </c>
      <c r="K388" s="1" t="str">
        <f>'Raw Tickets'!$K$388</f>
        <v>Closed</v>
      </c>
      <c r="L388" s="1" t="str">
        <f>'Raw Tickets'!$L$388</f>
        <v>No</v>
      </c>
      <c r="M388" s="1" t="str">
        <f>'Raw Tickets'!$M$388</f>
        <v>Yes</v>
      </c>
      <c r="N388" s="1" t="str">
        <f>IFERROR(VLOOKUP(C388,Agents!$A$2:$E$26,2,FALSE),"")</f>
        <v>Kabir Verma</v>
      </c>
      <c r="O388" s="1" t="str">
        <f>IFERROR(INDEX(Agents!$D$2:$D$26,MATCH(C388,Agents!$A$2:$A$26,0)),"")</f>
        <v>Email Support</v>
      </c>
      <c r="P388" s="1" t="str">
        <f>IFERROR(VLOOKUP(C388,Agents!$A$2:$E$26,3,FALSE),"")</f>
        <v>Aman Verma</v>
      </c>
      <c r="Q388" s="1" t="str">
        <f>IFERROR(VLOOKUP(C388,Agents!$A$2:$E$26,5,FALSE),"")</f>
        <v>Gurugram</v>
      </c>
      <c r="R388" s="1">
        <f>IFERROR(VLOOKUP(F388,#REF!,2,FALSE),0)</f>
        <v>0</v>
      </c>
      <c r="S388" s="1" t="str">
        <f t="shared" si="36"/>
        <v>Breached</v>
      </c>
      <c r="T388" s="1" t="str">
        <f t="shared" si="37"/>
        <v>Within Target</v>
      </c>
      <c r="U388" s="1" t="str">
        <f t="shared" si="38"/>
        <v>2025-07</v>
      </c>
      <c r="V388" s="1" t="str">
        <f t="shared" si="39"/>
        <v>Good</v>
      </c>
      <c r="W388" s="1" t="str">
        <f t="shared" si="40"/>
        <v>Pass</v>
      </c>
      <c r="X388" s="1" t="str">
        <f t="shared" si="41"/>
        <v>Unique</v>
      </c>
    </row>
    <row r="389" spans="1:24" ht="15" customHeight="1">
      <c r="A389" s="1" t="str">
        <f>'Raw Tickets'!$A$389</f>
        <v>T00388</v>
      </c>
      <c r="B389" s="4">
        <f>'Raw Tickets'!$B$389</f>
        <v>45708</v>
      </c>
      <c r="C389" s="1" t="str">
        <f>'Raw Tickets'!$C$389</f>
        <v>A008</v>
      </c>
      <c r="D389" s="1" t="str">
        <f>'Raw Tickets'!$D$389</f>
        <v>Call</v>
      </c>
      <c r="E389" s="1" t="str">
        <f>'Raw Tickets'!$E$389</f>
        <v>Delivery Delay</v>
      </c>
      <c r="F389" s="1" t="str">
        <f>'Raw Tickets'!$F$389</f>
        <v>High</v>
      </c>
      <c r="G389" s="1">
        <f>'Raw Tickets'!$G$389</f>
        <v>16.8</v>
      </c>
      <c r="H389" s="1">
        <f>'Raw Tickets'!$H$389</f>
        <v>12</v>
      </c>
      <c r="I389" s="1">
        <f>'Raw Tickets'!$I$389</f>
        <v>1</v>
      </c>
      <c r="J389" s="6">
        <f>'Raw Tickets'!$J$389</f>
        <v>100</v>
      </c>
      <c r="K389" s="1" t="str">
        <f>'Raw Tickets'!$K$389</f>
        <v>Closed</v>
      </c>
      <c r="L389" s="1" t="str">
        <f>'Raw Tickets'!$L$389</f>
        <v>Yes</v>
      </c>
      <c r="M389" s="1" t="str">
        <f>'Raw Tickets'!$M$389</f>
        <v>No</v>
      </c>
      <c r="N389" s="1" t="str">
        <f>IFERROR(VLOOKUP(C389,Agents!$A$2:$E$26,2,FALSE),"")</f>
        <v>Ananya Mishra</v>
      </c>
      <c r="O389" s="1" t="str">
        <f>IFERROR(INDEX(Agents!$D$2:$D$26,MATCH(C389,Agents!$A$2:$A$26,0)),"")</f>
        <v>Voice Support</v>
      </c>
      <c r="P389" s="1" t="str">
        <f>IFERROR(VLOOKUP(C389,Agents!$A$2:$E$26,3,FALSE),"")</f>
        <v>Kritika Shah</v>
      </c>
      <c r="Q389" s="1" t="str">
        <f>IFERROR(VLOOKUP(C389,Agents!$A$2:$E$26,5,FALSE),"")</f>
        <v>Hyderabad</v>
      </c>
      <c r="R389" s="1">
        <f>IFERROR(VLOOKUP(F389,#REF!,2,FALSE),0)</f>
        <v>0</v>
      </c>
      <c r="S389" s="1" t="str">
        <f t="shared" si="36"/>
        <v>Breached</v>
      </c>
      <c r="T389" s="1" t="str">
        <f t="shared" si="37"/>
        <v>Within Target</v>
      </c>
      <c r="U389" s="1" t="str">
        <f t="shared" si="38"/>
        <v>2025-02</v>
      </c>
      <c r="V389" s="1" t="str">
        <f t="shared" si="39"/>
        <v>Poor</v>
      </c>
      <c r="W389" s="1" t="str">
        <f t="shared" si="40"/>
        <v>Pass</v>
      </c>
      <c r="X389" s="1" t="str">
        <f t="shared" si="41"/>
        <v>Unique</v>
      </c>
    </row>
    <row r="390" spans="1:24" ht="15" customHeight="1">
      <c r="A390" s="1" t="str">
        <f>'Raw Tickets'!$A$390</f>
        <v>T00389</v>
      </c>
      <c r="B390" s="4">
        <f>'Raw Tickets'!$B$390</f>
        <v>45864</v>
      </c>
      <c r="C390" s="1" t="str">
        <f>'Raw Tickets'!$C$390</f>
        <v>A017</v>
      </c>
      <c r="D390" s="1" t="str">
        <f>'Raw Tickets'!$D$390</f>
        <v>Email</v>
      </c>
      <c r="E390" s="1" t="str">
        <f>'Raw Tickets'!$E$390</f>
        <v>Order Cancellation</v>
      </c>
      <c r="F390" s="1" t="str">
        <f>'Raw Tickets'!$F$390</f>
        <v>Low</v>
      </c>
      <c r="G390" s="1">
        <f>'Raw Tickets'!$G$390</f>
        <v>0.5</v>
      </c>
      <c r="H390" s="1">
        <f>'Raw Tickets'!$H$390</f>
        <v>48</v>
      </c>
      <c r="I390" s="1">
        <f>'Raw Tickets'!$I$390</f>
        <v>3</v>
      </c>
      <c r="J390" s="6">
        <f>'Raw Tickets'!$J$390</f>
        <v>91.5</v>
      </c>
      <c r="K390" s="1" t="str">
        <f>'Raw Tickets'!$K$390</f>
        <v>Closed</v>
      </c>
      <c r="L390" s="1" t="str">
        <f>'Raw Tickets'!$L$390</f>
        <v>No</v>
      </c>
      <c r="M390" s="1" t="str">
        <f>'Raw Tickets'!$M$390</f>
        <v>No</v>
      </c>
      <c r="N390" s="1" t="str">
        <f>IFERROR(VLOOKUP(C390,Agents!$A$2:$E$26,2,FALSE),"")</f>
        <v>Varun Mehta</v>
      </c>
      <c r="O390" s="1" t="str">
        <f>IFERROR(INDEX(Agents!$D$2:$D$26,MATCH(C390,Agents!$A$2:$A$26,0)),"")</f>
        <v>Escalations</v>
      </c>
      <c r="P390" s="1" t="str">
        <f>IFERROR(VLOOKUP(C390,Agents!$A$2:$E$26,3,FALSE),"")</f>
        <v>Pallavi Rao</v>
      </c>
      <c r="Q390" s="1" t="str">
        <f>IFERROR(VLOOKUP(C390,Agents!$A$2:$E$26,5,FALSE),"")</f>
        <v>Gurugram</v>
      </c>
      <c r="R390" s="1">
        <f>IFERROR(VLOOKUP(F390,#REF!,2,FALSE),0)</f>
        <v>0</v>
      </c>
      <c r="S390" s="1" t="str">
        <f t="shared" si="36"/>
        <v>Breached</v>
      </c>
      <c r="T390" s="1" t="str">
        <f t="shared" si="37"/>
        <v>Late</v>
      </c>
      <c r="U390" s="1" t="str">
        <f t="shared" si="38"/>
        <v>2025-07</v>
      </c>
      <c r="V390" s="1" t="str">
        <f t="shared" si="39"/>
        <v>Average</v>
      </c>
      <c r="W390" s="1" t="str">
        <f t="shared" si="40"/>
        <v>Pass</v>
      </c>
      <c r="X390" s="1" t="str">
        <f t="shared" si="41"/>
        <v>Unique</v>
      </c>
    </row>
    <row r="391" spans="1:24" ht="15" customHeight="1">
      <c r="A391" s="1" t="str">
        <f>'Raw Tickets'!$A$391</f>
        <v>T00390</v>
      </c>
      <c r="B391" s="4">
        <f>'Raw Tickets'!$B$391</f>
        <v>45684</v>
      </c>
      <c r="C391" s="1" t="str">
        <f>'Raw Tickets'!$C$391</f>
        <v>A011</v>
      </c>
      <c r="D391" s="1" t="str">
        <f>'Raw Tickets'!$D$391</f>
        <v>Chat</v>
      </c>
      <c r="E391" s="1" t="str">
        <f>'Raw Tickets'!$E$391</f>
        <v>Product Quality</v>
      </c>
      <c r="F391" s="1" t="str">
        <f>'Raw Tickets'!$F$391</f>
        <v>Medium</v>
      </c>
      <c r="G391" s="1">
        <f>'Raw Tickets'!$G$391</f>
        <v>15.8</v>
      </c>
      <c r="H391" s="1">
        <f>'Raw Tickets'!$H$391</f>
        <v>59</v>
      </c>
      <c r="I391" s="1">
        <f>'Raw Tickets'!$I$391</f>
        <v>2</v>
      </c>
      <c r="J391" s="6">
        <f>'Raw Tickets'!$J$391</f>
        <v>96.9</v>
      </c>
      <c r="K391" s="1" t="str">
        <f>'Raw Tickets'!$K$391</f>
        <v>Closed</v>
      </c>
      <c r="L391" s="1" t="str">
        <f>'Raw Tickets'!$L$391</f>
        <v>No</v>
      </c>
      <c r="M391" s="1" t="str">
        <f>'Raw Tickets'!$M$391</f>
        <v>No</v>
      </c>
      <c r="N391" s="1" t="str">
        <f>IFERROR(VLOOKUP(C391,Agents!$A$2:$E$26,2,FALSE),"")</f>
        <v>Shreya Singh</v>
      </c>
      <c r="O391" s="1" t="str">
        <f>IFERROR(INDEX(Agents!$D$2:$D$26,MATCH(C391,Agents!$A$2:$A$26,0)),"")</f>
        <v>Chat Support</v>
      </c>
      <c r="P391" s="1" t="str">
        <f>IFERROR(VLOOKUP(C391,Agents!$A$2:$E$26,3,FALSE),"")</f>
        <v>Nitin Gupta</v>
      </c>
      <c r="Q391" s="1" t="str">
        <f>IFERROR(VLOOKUP(C391,Agents!$A$2:$E$26,5,FALSE),"")</f>
        <v>Noida</v>
      </c>
      <c r="R391" s="1">
        <f>IFERROR(VLOOKUP(F391,#REF!,2,FALSE),0)</f>
        <v>0</v>
      </c>
      <c r="S391" s="1" t="str">
        <f t="shared" si="36"/>
        <v>Breached</v>
      </c>
      <c r="T391" s="1" t="str">
        <f t="shared" si="37"/>
        <v>Late</v>
      </c>
      <c r="U391" s="1" t="str">
        <f t="shared" si="38"/>
        <v>2025-01</v>
      </c>
      <c r="V391" s="1" t="str">
        <f t="shared" si="39"/>
        <v>Poor</v>
      </c>
      <c r="W391" s="1" t="str">
        <f t="shared" si="40"/>
        <v>Pass</v>
      </c>
      <c r="X391" s="1" t="str">
        <f t="shared" si="41"/>
        <v>Unique</v>
      </c>
    </row>
    <row r="392" spans="1:24" ht="15" customHeight="1">
      <c r="A392" s="1" t="str">
        <f>'Raw Tickets'!$A$392</f>
        <v>T00391</v>
      </c>
      <c r="B392" s="4">
        <f>'Raw Tickets'!$B$392</f>
        <v>45672</v>
      </c>
      <c r="C392" s="1" t="str">
        <f>'Raw Tickets'!$C$392</f>
        <v>A018</v>
      </c>
      <c r="D392" s="1" t="str">
        <f>'Raw Tickets'!$D$392</f>
        <v>Call</v>
      </c>
      <c r="E392" s="1" t="str">
        <f>'Raw Tickets'!$E$392</f>
        <v>Account Issue</v>
      </c>
      <c r="F392" s="1" t="str">
        <f>'Raw Tickets'!$F$392</f>
        <v>Medium</v>
      </c>
      <c r="G392" s="1">
        <f>'Raw Tickets'!$G$392</f>
        <v>30.5</v>
      </c>
      <c r="H392" s="1">
        <f>'Raw Tickets'!$H$392</f>
        <v>44</v>
      </c>
      <c r="I392" s="1">
        <f>'Raw Tickets'!$I$392</f>
        <v>4</v>
      </c>
      <c r="J392" s="6">
        <f>'Raw Tickets'!$J$392</f>
        <v>86.9</v>
      </c>
      <c r="K392" s="1" t="str">
        <f>'Raw Tickets'!$K$392</f>
        <v>Closed</v>
      </c>
      <c r="L392" s="1" t="str">
        <f>'Raw Tickets'!$L$392</f>
        <v>No</v>
      </c>
      <c r="M392" s="1" t="str">
        <f>'Raw Tickets'!$M$392</f>
        <v>No</v>
      </c>
      <c r="N392" s="1" t="str">
        <f>IFERROR(VLOOKUP(C392,Agents!$A$2:$E$26,2,FALSE),"")</f>
        <v>Rahul Verma</v>
      </c>
      <c r="O392" s="1" t="str">
        <f>IFERROR(INDEX(Agents!$D$2:$D$26,MATCH(C392,Agents!$A$2:$A$26,0)),"")</f>
        <v>Escalations</v>
      </c>
      <c r="P392" s="1" t="str">
        <f>IFERROR(VLOOKUP(C392,Agents!$A$2:$E$26,3,FALSE),"")</f>
        <v>Pallavi Rao</v>
      </c>
      <c r="Q392" s="1" t="str">
        <f>IFERROR(VLOOKUP(C392,Agents!$A$2:$E$26,5,FALSE),"")</f>
        <v>Hyderabad</v>
      </c>
      <c r="R392" s="1">
        <f>IFERROR(VLOOKUP(F392,#REF!,2,FALSE),0)</f>
        <v>0</v>
      </c>
      <c r="S392" s="1" t="str">
        <f t="shared" si="36"/>
        <v>Breached</v>
      </c>
      <c r="T392" s="1" t="str">
        <f t="shared" si="37"/>
        <v>Late</v>
      </c>
      <c r="U392" s="1" t="str">
        <f t="shared" si="38"/>
        <v>2025-01</v>
      </c>
      <c r="V392" s="1" t="str">
        <f t="shared" si="39"/>
        <v>Good</v>
      </c>
      <c r="W392" s="1" t="str">
        <f t="shared" si="40"/>
        <v>Pass</v>
      </c>
      <c r="X392" s="1" t="str">
        <f t="shared" si="41"/>
        <v>Unique</v>
      </c>
    </row>
    <row r="393" spans="1:24" ht="15" customHeight="1">
      <c r="A393" s="1" t="str">
        <f>'Raw Tickets'!$A$393</f>
        <v>T00392</v>
      </c>
      <c r="B393" s="4">
        <f>'Raw Tickets'!$B$393</f>
        <v>45756</v>
      </c>
      <c r="C393" s="1" t="str">
        <f>'Raw Tickets'!$C$393</f>
        <v>A011</v>
      </c>
      <c r="D393" s="1" t="str">
        <f>'Raw Tickets'!$D$393</f>
        <v>Call</v>
      </c>
      <c r="E393" s="1" t="str">
        <f>'Raw Tickets'!$E$393</f>
        <v>Payment Failure</v>
      </c>
      <c r="F393" s="1" t="str">
        <f>'Raw Tickets'!$F$393</f>
        <v>Low</v>
      </c>
      <c r="G393" s="1">
        <f>'Raw Tickets'!$G$393</f>
        <v>49.6</v>
      </c>
      <c r="H393" s="1">
        <f>'Raw Tickets'!$H$393</f>
        <v>45</v>
      </c>
      <c r="I393" s="1">
        <f>'Raw Tickets'!$I$393</f>
        <v>4</v>
      </c>
      <c r="J393" s="6">
        <f>'Raw Tickets'!$J$393</f>
        <v>81.3</v>
      </c>
      <c r="K393" s="1" t="str">
        <f>'Raw Tickets'!$K$393</f>
        <v>Closed</v>
      </c>
      <c r="L393" s="1" t="str">
        <f>'Raw Tickets'!$L$393</f>
        <v>Yes</v>
      </c>
      <c r="M393" s="1" t="str">
        <f>'Raw Tickets'!$M$393</f>
        <v>No</v>
      </c>
      <c r="N393" s="1" t="str">
        <f>IFERROR(VLOOKUP(C393,Agents!$A$2:$E$26,2,FALSE),"")</f>
        <v>Shreya Singh</v>
      </c>
      <c r="O393" s="1" t="str">
        <f>IFERROR(INDEX(Agents!$D$2:$D$26,MATCH(C393,Agents!$A$2:$A$26,0)),"")</f>
        <v>Chat Support</v>
      </c>
      <c r="P393" s="1" t="str">
        <f>IFERROR(VLOOKUP(C393,Agents!$A$2:$E$26,3,FALSE),"")</f>
        <v>Nitin Gupta</v>
      </c>
      <c r="Q393" s="1" t="str">
        <f>IFERROR(VLOOKUP(C393,Agents!$A$2:$E$26,5,FALSE),"")</f>
        <v>Noida</v>
      </c>
      <c r="R393" s="1">
        <f>IFERROR(VLOOKUP(F393,#REF!,2,FALSE),0)</f>
        <v>0</v>
      </c>
      <c r="S393" s="1" t="str">
        <f t="shared" si="36"/>
        <v>Breached</v>
      </c>
      <c r="T393" s="1" t="str">
        <f t="shared" si="37"/>
        <v>Late</v>
      </c>
      <c r="U393" s="1" t="str">
        <f t="shared" si="38"/>
        <v>2025-04</v>
      </c>
      <c r="V393" s="1" t="str">
        <f t="shared" si="39"/>
        <v>Good</v>
      </c>
      <c r="W393" s="1" t="str">
        <f t="shared" si="40"/>
        <v>Needs Coaching</v>
      </c>
      <c r="X393" s="1" t="str">
        <f t="shared" si="41"/>
        <v>Unique</v>
      </c>
    </row>
    <row r="394" spans="1:24" ht="15" customHeight="1">
      <c r="A394" s="1" t="str">
        <f>'Raw Tickets'!$A$394</f>
        <v>T00393</v>
      </c>
      <c r="B394" s="4">
        <f>'Raw Tickets'!$B$394</f>
        <v>45699</v>
      </c>
      <c r="C394" s="1" t="str">
        <f>'Raw Tickets'!$C$394</f>
        <v>A025</v>
      </c>
      <c r="D394" s="1" t="str">
        <f>'Raw Tickets'!$D$394</f>
        <v>Call</v>
      </c>
      <c r="E394" s="1" t="str">
        <f>'Raw Tickets'!$E$394</f>
        <v>Order Cancellation</v>
      </c>
      <c r="F394" s="1" t="str">
        <f>'Raw Tickets'!$F$394</f>
        <v>Medium</v>
      </c>
      <c r="G394" s="1">
        <f>'Raw Tickets'!$G$394</f>
        <v>0.5</v>
      </c>
      <c r="H394" s="1">
        <f>'Raw Tickets'!$H$394</f>
        <v>53</v>
      </c>
      <c r="I394" s="1">
        <f>'Raw Tickets'!$I$394</f>
        <v>2</v>
      </c>
      <c r="J394" s="6">
        <f>'Raw Tickets'!$J$394</f>
        <v>85.9</v>
      </c>
      <c r="K394" s="1" t="str">
        <f>'Raw Tickets'!$K$394</f>
        <v>Closed</v>
      </c>
      <c r="L394" s="1" t="str">
        <f>'Raw Tickets'!$L$394</f>
        <v>No</v>
      </c>
      <c r="M394" s="1" t="str">
        <f>'Raw Tickets'!$M$394</f>
        <v>No</v>
      </c>
      <c r="N394" s="1" t="str">
        <f>IFERROR(VLOOKUP(C394,Agents!$A$2:$E$26,2,FALSE),"")</f>
        <v>Arjun Nair</v>
      </c>
      <c r="O394" s="1" t="str">
        <f>IFERROR(INDEX(Agents!$D$2:$D$26,MATCH(C394,Agents!$A$2:$A$26,0)),"")</f>
        <v>Seller Support</v>
      </c>
      <c r="P394" s="1" t="str">
        <f>IFERROR(VLOOKUP(C394,Agents!$A$2:$E$26,3,FALSE),"")</f>
        <v>Vivek Jain</v>
      </c>
      <c r="Q394" s="1" t="str">
        <f>IFERROR(VLOOKUP(C394,Agents!$A$2:$E$26,5,FALSE),"")</f>
        <v>Noida</v>
      </c>
      <c r="R394" s="1">
        <f>IFERROR(VLOOKUP(F394,#REF!,2,FALSE),0)</f>
        <v>0</v>
      </c>
      <c r="S394" s="1" t="str">
        <f t="shared" si="36"/>
        <v>Breached</v>
      </c>
      <c r="T394" s="1" t="str">
        <f t="shared" si="37"/>
        <v>Late</v>
      </c>
      <c r="U394" s="1" t="str">
        <f t="shared" si="38"/>
        <v>2025-02</v>
      </c>
      <c r="V394" s="1" t="str">
        <f t="shared" si="39"/>
        <v>Poor</v>
      </c>
      <c r="W394" s="1" t="str">
        <f t="shared" si="40"/>
        <v>Pass</v>
      </c>
      <c r="X394" s="1" t="str">
        <f t="shared" si="41"/>
        <v>Unique</v>
      </c>
    </row>
    <row r="395" spans="1:24" ht="15" customHeight="1">
      <c r="A395" s="1" t="str">
        <f>'Raw Tickets'!$A$395</f>
        <v>T00394</v>
      </c>
      <c r="B395" s="4">
        <f>'Raw Tickets'!$B$395</f>
        <v>45769</v>
      </c>
      <c r="C395" s="1" t="str">
        <f>'Raw Tickets'!$C$395</f>
        <v>A018</v>
      </c>
      <c r="D395" s="1" t="str">
        <f>'Raw Tickets'!$D$395</f>
        <v>Email</v>
      </c>
      <c r="E395" s="1" t="str">
        <f>'Raw Tickets'!$E$395</f>
        <v>Refund</v>
      </c>
      <c r="F395" s="1" t="str">
        <f>'Raw Tickets'!$F$395</f>
        <v>Low</v>
      </c>
      <c r="G395" s="1">
        <f>'Raw Tickets'!$G$395</f>
        <v>72</v>
      </c>
      <c r="H395" s="1">
        <f>'Raw Tickets'!$H$395</f>
        <v>33</v>
      </c>
      <c r="I395" s="1">
        <f>'Raw Tickets'!$I$395</f>
        <v>4</v>
      </c>
      <c r="J395" s="6">
        <f>'Raw Tickets'!$J$395</f>
        <v>100</v>
      </c>
      <c r="K395" s="1" t="str">
        <f>'Raw Tickets'!$K$395</f>
        <v>Closed</v>
      </c>
      <c r="L395" s="1" t="str">
        <f>'Raw Tickets'!$L$395</f>
        <v>No</v>
      </c>
      <c r="M395" s="1" t="str">
        <f>'Raw Tickets'!$M$395</f>
        <v>No</v>
      </c>
      <c r="N395" s="1" t="str">
        <f>IFERROR(VLOOKUP(C395,Agents!$A$2:$E$26,2,FALSE),"")</f>
        <v>Rahul Verma</v>
      </c>
      <c r="O395" s="1" t="str">
        <f>IFERROR(INDEX(Agents!$D$2:$D$26,MATCH(C395,Agents!$A$2:$A$26,0)),"")</f>
        <v>Escalations</v>
      </c>
      <c r="P395" s="1" t="str">
        <f>IFERROR(VLOOKUP(C395,Agents!$A$2:$E$26,3,FALSE),"")</f>
        <v>Pallavi Rao</v>
      </c>
      <c r="Q395" s="1" t="str">
        <f>IFERROR(VLOOKUP(C395,Agents!$A$2:$E$26,5,FALSE),"")</f>
        <v>Hyderabad</v>
      </c>
      <c r="R395" s="1">
        <f>IFERROR(VLOOKUP(F395,#REF!,2,FALSE),0)</f>
        <v>0</v>
      </c>
      <c r="S395" s="1" t="str">
        <f t="shared" si="36"/>
        <v>Breached</v>
      </c>
      <c r="T395" s="1" t="str">
        <f t="shared" si="37"/>
        <v>Late</v>
      </c>
      <c r="U395" s="1" t="str">
        <f t="shared" si="38"/>
        <v>2025-04</v>
      </c>
      <c r="V395" s="1" t="str">
        <f t="shared" si="39"/>
        <v>Good</v>
      </c>
      <c r="W395" s="1" t="str">
        <f t="shared" si="40"/>
        <v>Pass</v>
      </c>
      <c r="X395" s="1" t="str">
        <f t="shared" si="41"/>
        <v>Unique</v>
      </c>
    </row>
    <row r="396" spans="1:24" ht="15" customHeight="1">
      <c r="A396" s="1" t="str">
        <f>'Raw Tickets'!$A$396</f>
        <v>T00395</v>
      </c>
      <c r="B396" s="4">
        <f>'Raw Tickets'!$B$396</f>
        <v>45994</v>
      </c>
      <c r="C396" s="1" t="str">
        <f>'Raw Tickets'!$C$396</f>
        <v>A004</v>
      </c>
      <c r="D396" s="1" t="str">
        <f>'Raw Tickets'!$D$396</f>
        <v>Chat</v>
      </c>
      <c r="E396" s="1" t="str">
        <f>'Raw Tickets'!$E$396</f>
        <v>Account Issue</v>
      </c>
      <c r="F396" s="1" t="str">
        <f>'Raw Tickets'!$F$396</f>
        <v>Medium</v>
      </c>
      <c r="G396" s="1">
        <f>'Raw Tickets'!$G$396</f>
        <v>21.5</v>
      </c>
      <c r="H396" s="1">
        <f>'Raw Tickets'!$H$396</f>
        <v>35</v>
      </c>
      <c r="I396" s="1">
        <f>'Raw Tickets'!$I$396</f>
        <v>4</v>
      </c>
      <c r="J396" s="6">
        <f>'Raw Tickets'!$J$396</f>
        <v>85.4</v>
      </c>
      <c r="K396" s="1" t="str">
        <f>'Raw Tickets'!$K$396</f>
        <v>Closed</v>
      </c>
      <c r="L396" s="1" t="str">
        <f>'Raw Tickets'!$L$396</f>
        <v>No</v>
      </c>
      <c r="M396" s="1" t="str">
        <f>'Raw Tickets'!$M$396</f>
        <v>No</v>
      </c>
      <c r="N396" s="1" t="str">
        <f>IFERROR(VLOOKUP(C396,Agents!$A$2:$E$26,2,FALSE),"")</f>
        <v>Arjun Agarwal</v>
      </c>
      <c r="O396" s="1" t="str">
        <f>IFERROR(INDEX(Agents!$D$2:$D$26,MATCH(C396,Agents!$A$2:$A$26,0)),"")</f>
        <v>Email Support</v>
      </c>
      <c r="P396" s="1" t="str">
        <f>IFERROR(VLOOKUP(C396,Agents!$A$2:$E$26,3,FALSE),"")</f>
        <v>Aman Verma</v>
      </c>
      <c r="Q396" s="1" t="str">
        <f>IFERROR(VLOOKUP(C396,Agents!$A$2:$E$26,5,FALSE),"")</f>
        <v>Bengaluru</v>
      </c>
      <c r="R396" s="1">
        <f>IFERROR(VLOOKUP(F396,#REF!,2,FALSE),0)</f>
        <v>0</v>
      </c>
      <c r="S396" s="1" t="str">
        <f t="shared" si="36"/>
        <v>Breached</v>
      </c>
      <c r="T396" s="1" t="str">
        <f t="shared" si="37"/>
        <v>Late</v>
      </c>
      <c r="U396" s="1" t="str">
        <f t="shared" si="38"/>
        <v>2025-12</v>
      </c>
      <c r="V396" s="1" t="str">
        <f t="shared" si="39"/>
        <v>Good</v>
      </c>
      <c r="W396" s="1" t="str">
        <f t="shared" si="40"/>
        <v>Pass</v>
      </c>
      <c r="X396" s="1" t="str">
        <f t="shared" si="41"/>
        <v>Unique</v>
      </c>
    </row>
    <row r="397" spans="1:24" ht="15" customHeight="1">
      <c r="A397" s="1" t="str">
        <f>'Raw Tickets'!$A$397</f>
        <v>T00396</v>
      </c>
      <c r="B397" s="4">
        <f>'Raw Tickets'!$B$397</f>
        <v>45838</v>
      </c>
      <c r="C397" s="1" t="str">
        <f>'Raw Tickets'!$C$397</f>
        <v>A020</v>
      </c>
      <c r="D397" s="1" t="str">
        <f>'Raw Tickets'!$D$397</f>
        <v>Chat</v>
      </c>
      <c r="E397" s="1" t="str">
        <f>'Raw Tickets'!$E$397</f>
        <v>Order Cancellation</v>
      </c>
      <c r="F397" s="1" t="str">
        <f>'Raw Tickets'!$F$397</f>
        <v>High</v>
      </c>
      <c r="G397" s="1">
        <f>'Raw Tickets'!$G$397</f>
        <v>14.3</v>
      </c>
      <c r="H397" s="1">
        <f>'Raw Tickets'!$H$397</f>
        <v>1</v>
      </c>
      <c r="I397" s="1">
        <f>'Raw Tickets'!$I$397</f>
        <v>3</v>
      </c>
      <c r="J397" s="6">
        <f>'Raw Tickets'!$J$397</f>
        <v>83.1</v>
      </c>
      <c r="K397" s="1" t="str">
        <f>'Raw Tickets'!$K$397</f>
        <v>Closed</v>
      </c>
      <c r="L397" s="1" t="str">
        <f>'Raw Tickets'!$L$397</f>
        <v>No</v>
      </c>
      <c r="M397" s="1" t="str">
        <f>'Raw Tickets'!$M$397</f>
        <v>No</v>
      </c>
      <c r="N397" s="1" t="str">
        <f>IFERROR(VLOOKUP(C397,Agents!$A$2:$E$26,2,FALSE),"")</f>
        <v>Aditi Bansal</v>
      </c>
      <c r="O397" s="1" t="str">
        <f>IFERROR(INDEX(Agents!$D$2:$D$26,MATCH(C397,Agents!$A$2:$A$26,0)),"")</f>
        <v>Escalations</v>
      </c>
      <c r="P397" s="1" t="str">
        <f>IFERROR(VLOOKUP(C397,Agents!$A$2:$E$26,3,FALSE),"")</f>
        <v>Pallavi Rao</v>
      </c>
      <c r="Q397" s="1" t="str">
        <f>IFERROR(VLOOKUP(C397,Agents!$A$2:$E$26,5,FALSE),"")</f>
        <v>Noida</v>
      </c>
      <c r="R397" s="1">
        <f>IFERROR(VLOOKUP(F397,#REF!,2,FALSE),0)</f>
        <v>0</v>
      </c>
      <c r="S397" s="1" t="str">
        <f t="shared" si="36"/>
        <v>Breached</v>
      </c>
      <c r="T397" s="1" t="str">
        <f t="shared" si="37"/>
        <v>Within Target</v>
      </c>
      <c r="U397" s="1" t="str">
        <f t="shared" si="38"/>
        <v>2025-06</v>
      </c>
      <c r="V397" s="1" t="str">
        <f t="shared" si="39"/>
        <v>Average</v>
      </c>
      <c r="W397" s="1" t="str">
        <f t="shared" si="40"/>
        <v>Needs Coaching</v>
      </c>
      <c r="X397" s="1" t="str">
        <f t="shared" si="41"/>
        <v>Unique</v>
      </c>
    </row>
    <row r="398" spans="1:24" ht="15" customHeight="1">
      <c r="A398" s="1" t="str">
        <f>'Raw Tickets'!$A$398</f>
        <v>T00397</v>
      </c>
      <c r="B398" s="4">
        <f>'Raw Tickets'!$B$398</f>
        <v>45716</v>
      </c>
      <c r="C398" s="1" t="str">
        <f>'Raw Tickets'!$C$398</f>
        <v>A002</v>
      </c>
      <c r="D398" s="1" t="str">
        <f>'Raw Tickets'!$D$398</f>
        <v>Call</v>
      </c>
      <c r="E398" s="1" t="str">
        <f>'Raw Tickets'!$E$398</f>
        <v>Refund</v>
      </c>
      <c r="F398" s="1" t="str">
        <f>'Raw Tickets'!$F$398</f>
        <v>High</v>
      </c>
      <c r="G398" s="1">
        <f>'Raw Tickets'!$G$398</f>
        <v>15</v>
      </c>
      <c r="H398" s="1">
        <f>'Raw Tickets'!$H$398</f>
        <v>36</v>
      </c>
      <c r="I398" s="1">
        <f>'Raw Tickets'!$I$398</f>
        <v>4</v>
      </c>
      <c r="J398" s="6">
        <f>'Raw Tickets'!$J$398</f>
        <v>77.900000000000006</v>
      </c>
      <c r="K398" s="1" t="str">
        <f>'Raw Tickets'!$K$398</f>
        <v>Open</v>
      </c>
      <c r="L398" s="1" t="str">
        <f>'Raw Tickets'!$L$398</f>
        <v>No</v>
      </c>
      <c r="M398" s="1" t="str">
        <f>'Raw Tickets'!$M$398</f>
        <v>No</v>
      </c>
      <c r="N398" s="1" t="str">
        <f>IFERROR(VLOOKUP(C398,Agents!$A$2:$E$26,2,FALSE),"")</f>
        <v>Gaurav Khan</v>
      </c>
      <c r="O398" s="1" t="str">
        <f>IFERROR(INDEX(Agents!$D$2:$D$26,MATCH(C398,Agents!$A$2:$A$26,0)),"")</f>
        <v>Email Support</v>
      </c>
      <c r="P398" s="1" t="str">
        <f>IFERROR(VLOOKUP(C398,Agents!$A$2:$E$26,3,FALSE),"")</f>
        <v>Aman Verma</v>
      </c>
      <c r="Q398" s="1" t="str">
        <f>IFERROR(VLOOKUP(C398,Agents!$A$2:$E$26,5,FALSE),"")</f>
        <v>Noida</v>
      </c>
      <c r="R398" s="1">
        <f>IFERROR(VLOOKUP(F398,#REF!,2,FALSE),0)</f>
        <v>0</v>
      </c>
      <c r="S398" s="1" t="str">
        <f t="shared" si="36"/>
        <v>Breached</v>
      </c>
      <c r="T398" s="1" t="str">
        <f t="shared" si="37"/>
        <v>Late</v>
      </c>
      <c r="U398" s="1" t="str">
        <f t="shared" si="38"/>
        <v>2025-02</v>
      </c>
      <c r="V398" s="1" t="str">
        <f t="shared" si="39"/>
        <v>Good</v>
      </c>
      <c r="W398" s="1" t="str">
        <f t="shared" si="40"/>
        <v>Needs Coaching</v>
      </c>
      <c r="X398" s="1" t="str">
        <f t="shared" si="41"/>
        <v>Unique</v>
      </c>
    </row>
    <row r="399" spans="1:24" ht="15" customHeight="1">
      <c r="A399" s="1" t="str">
        <f>'Raw Tickets'!$A$399</f>
        <v>T00398</v>
      </c>
      <c r="B399" s="4">
        <f>'Raw Tickets'!$B$399</f>
        <v>45791</v>
      </c>
      <c r="C399" s="1" t="str">
        <f>'Raw Tickets'!$C$399</f>
        <v>A003</v>
      </c>
      <c r="D399" s="1" t="str">
        <f>'Raw Tickets'!$D$399</f>
        <v>Email</v>
      </c>
      <c r="E399" s="1" t="str">
        <f>'Raw Tickets'!$E$399</f>
        <v>Account Issue</v>
      </c>
      <c r="F399" s="1" t="str">
        <f>'Raw Tickets'!$F$399</f>
        <v>Low</v>
      </c>
      <c r="G399" s="1">
        <f>'Raw Tickets'!$G$399</f>
        <v>61.8</v>
      </c>
      <c r="H399" s="1">
        <f>'Raw Tickets'!$H$399</f>
        <v>47</v>
      </c>
      <c r="I399" s="1">
        <f>'Raw Tickets'!$I$399</f>
        <v>5</v>
      </c>
      <c r="J399" s="6">
        <f>'Raw Tickets'!$J$399</f>
        <v>81.5</v>
      </c>
      <c r="K399" s="1" t="str">
        <f>'Raw Tickets'!$K$399</f>
        <v>Closed</v>
      </c>
      <c r="L399" s="1" t="str">
        <f>'Raw Tickets'!$L$399</f>
        <v>Yes</v>
      </c>
      <c r="M399" s="1" t="str">
        <f>'Raw Tickets'!$M$399</f>
        <v>No</v>
      </c>
      <c r="N399" s="1" t="str">
        <f>IFERROR(VLOOKUP(C399,Agents!$A$2:$E$26,2,FALSE),"")</f>
        <v>Kabir Verma</v>
      </c>
      <c r="O399" s="1" t="str">
        <f>IFERROR(INDEX(Agents!$D$2:$D$26,MATCH(C399,Agents!$A$2:$A$26,0)),"")</f>
        <v>Email Support</v>
      </c>
      <c r="P399" s="1" t="str">
        <f>IFERROR(VLOOKUP(C399,Agents!$A$2:$E$26,3,FALSE),"")</f>
        <v>Aman Verma</v>
      </c>
      <c r="Q399" s="1" t="str">
        <f>IFERROR(VLOOKUP(C399,Agents!$A$2:$E$26,5,FALSE),"")</f>
        <v>Gurugram</v>
      </c>
      <c r="R399" s="1">
        <f>IFERROR(VLOOKUP(F399,#REF!,2,FALSE),0)</f>
        <v>0</v>
      </c>
      <c r="S399" s="1" t="str">
        <f t="shared" si="36"/>
        <v>Breached</v>
      </c>
      <c r="T399" s="1" t="str">
        <f t="shared" si="37"/>
        <v>Late</v>
      </c>
      <c r="U399" s="1" t="str">
        <f t="shared" si="38"/>
        <v>2025-05</v>
      </c>
      <c r="V399" s="1" t="str">
        <f t="shared" si="39"/>
        <v>Good</v>
      </c>
      <c r="W399" s="1" t="str">
        <f t="shared" si="40"/>
        <v>Needs Coaching</v>
      </c>
      <c r="X399" s="1" t="str">
        <f t="shared" si="41"/>
        <v>Unique</v>
      </c>
    </row>
    <row r="400" spans="1:24" ht="15" customHeight="1">
      <c r="A400" s="1" t="str">
        <f>'Raw Tickets'!$A$400</f>
        <v>T00399</v>
      </c>
      <c r="B400" s="4">
        <f>'Raw Tickets'!$B$400</f>
        <v>45942</v>
      </c>
      <c r="C400" s="1" t="str">
        <f>'Raw Tickets'!$C$400</f>
        <v>A018</v>
      </c>
      <c r="D400" s="1" t="str">
        <f>'Raw Tickets'!$D$400</f>
        <v>Chat</v>
      </c>
      <c r="E400" s="1" t="str">
        <f>'Raw Tickets'!$E$400</f>
        <v>Product Quality</v>
      </c>
      <c r="F400" s="1" t="str">
        <f>'Raw Tickets'!$F$400</f>
        <v>High</v>
      </c>
      <c r="G400" s="1">
        <f>'Raw Tickets'!$G$400</f>
        <v>0.5</v>
      </c>
      <c r="H400" s="1">
        <f>'Raw Tickets'!$H$400</f>
        <v>30</v>
      </c>
      <c r="I400" s="1">
        <f>'Raw Tickets'!$I$400</f>
        <v>5</v>
      </c>
      <c r="J400" s="6">
        <f>'Raw Tickets'!$J$400</f>
        <v>95.2</v>
      </c>
      <c r="K400" s="1" t="str">
        <f>'Raw Tickets'!$K$400</f>
        <v>Closed</v>
      </c>
      <c r="L400" s="1" t="str">
        <f>'Raw Tickets'!$L$400</f>
        <v>No</v>
      </c>
      <c r="M400" s="1" t="str">
        <f>'Raw Tickets'!$M$400</f>
        <v>No</v>
      </c>
      <c r="N400" s="1" t="str">
        <f>IFERROR(VLOOKUP(C400,Agents!$A$2:$E$26,2,FALSE),"")</f>
        <v>Rahul Verma</v>
      </c>
      <c r="O400" s="1" t="str">
        <f>IFERROR(INDEX(Agents!$D$2:$D$26,MATCH(C400,Agents!$A$2:$A$26,0)),"")</f>
        <v>Escalations</v>
      </c>
      <c r="P400" s="1" t="str">
        <f>IFERROR(VLOOKUP(C400,Agents!$A$2:$E$26,3,FALSE),"")</f>
        <v>Pallavi Rao</v>
      </c>
      <c r="Q400" s="1" t="str">
        <f>IFERROR(VLOOKUP(C400,Agents!$A$2:$E$26,5,FALSE),"")</f>
        <v>Hyderabad</v>
      </c>
      <c r="R400" s="1">
        <f>IFERROR(VLOOKUP(F400,#REF!,2,FALSE),0)</f>
        <v>0</v>
      </c>
      <c r="S400" s="1" t="str">
        <f t="shared" si="36"/>
        <v>Breached</v>
      </c>
      <c r="T400" s="1" t="str">
        <f t="shared" si="37"/>
        <v>Within Target</v>
      </c>
      <c r="U400" s="1" t="str">
        <f t="shared" si="38"/>
        <v>2025-10</v>
      </c>
      <c r="V400" s="1" t="str">
        <f t="shared" si="39"/>
        <v>Good</v>
      </c>
      <c r="W400" s="1" t="str">
        <f t="shared" si="40"/>
        <v>Pass</v>
      </c>
      <c r="X400" s="1" t="str">
        <f t="shared" si="41"/>
        <v>Unique</v>
      </c>
    </row>
    <row r="401" spans="1:24" ht="15" customHeight="1">
      <c r="A401" s="1" t="str">
        <f>'Raw Tickets'!$A$401</f>
        <v>T00400</v>
      </c>
      <c r="B401" s="4">
        <f>'Raw Tickets'!$B$401</f>
        <v>45872</v>
      </c>
      <c r="C401" s="1" t="str">
        <f>'Raw Tickets'!$C$401</f>
        <v>A009</v>
      </c>
      <c r="D401" s="1" t="str">
        <f>'Raw Tickets'!$D$401</f>
        <v>Chat</v>
      </c>
      <c r="E401" s="1" t="str">
        <f>'Raw Tickets'!$E$401</f>
        <v>Payment Failure</v>
      </c>
      <c r="F401" s="1" t="str">
        <f>'Raw Tickets'!$F$401</f>
        <v>Low</v>
      </c>
      <c r="G401" s="1">
        <f>'Raw Tickets'!$G$401</f>
        <v>26.3</v>
      </c>
      <c r="H401" s="1">
        <f>'Raw Tickets'!$H$401</f>
        <v>10</v>
      </c>
      <c r="I401" s="1">
        <f>'Raw Tickets'!$I$401</f>
        <v>4</v>
      </c>
      <c r="J401" s="6">
        <f>'Raw Tickets'!$J$401</f>
        <v>90.5</v>
      </c>
      <c r="K401" s="1" t="str">
        <f>'Raw Tickets'!$K$401</f>
        <v>Closed</v>
      </c>
      <c r="L401" s="1" t="str">
        <f>'Raw Tickets'!$L$401</f>
        <v>No</v>
      </c>
      <c r="M401" s="1" t="str">
        <f>'Raw Tickets'!$M$401</f>
        <v>No</v>
      </c>
      <c r="N401" s="1" t="str">
        <f>IFERROR(VLOOKUP(C401,Agents!$A$2:$E$26,2,FALSE),"")</f>
        <v>Divya Mehta</v>
      </c>
      <c r="O401" s="1" t="str">
        <f>IFERROR(INDEX(Agents!$D$2:$D$26,MATCH(C401,Agents!$A$2:$A$26,0)),"")</f>
        <v>Voice Support</v>
      </c>
      <c r="P401" s="1" t="str">
        <f>IFERROR(VLOOKUP(C401,Agents!$A$2:$E$26,3,FALSE),"")</f>
        <v>Kritika Shah</v>
      </c>
      <c r="Q401" s="1" t="str">
        <f>IFERROR(VLOOKUP(C401,Agents!$A$2:$E$26,5,FALSE),"")</f>
        <v>Gurugram</v>
      </c>
      <c r="R401" s="1">
        <f>IFERROR(VLOOKUP(F401,#REF!,2,FALSE),0)</f>
        <v>0</v>
      </c>
      <c r="S401" s="1" t="str">
        <f t="shared" si="36"/>
        <v>Breached</v>
      </c>
      <c r="T401" s="1" t="str">
        <f t="shared" si="37"/>
        <v>Within Target</v>
      </c>
      <c r="U401" s="1" t="str">
        <f t="shared" si="38"/>
        <v>2025-08</v>
      </c>
      <c r="V401" s="1" t="str">
        <f t="shared" si="39"/>
        <v>Good</v>
      </c>
      <c r="W401" s="1" t="str">
        <f t="shared" si="40"/>
        <v>Pass</v>
      </c>
      <c r="X401" s="1" t="str">
        <f t="shared" si="41"/>
        <v>Unique</v>
      </c>
    </row>
    <row r="402" spans="1:24" ht="15" customHeight="1">
      <c r="A402" s="1" t="str">
        <f>'Raw Tickets'!$A$402</f>
        <v>T00401</v>
      </c>
      <c r="B402" s="4">
        <f>'Raw Tickets'!$B$402</f>
        <v>45869</v>
      </c>
      <c r="C402" s="1" t="str">
        <f>'Raw Tickets'!$C$402</f>
        <v>A004</v>
      </c>
      <c r="D402" s="1" t="str">
        <f>'Raw Tickets'!$D$402</f>
        <v>Chat</v>
      </c>
      <c r="E402" s="1" t="str">
        <f>'Raw Tickets'!$E$402</f>
        <v>Delivery Delay</v>
      </c>
      <c r="F402" s="1" t="str">
        <f>'Raw Tickets'!$F$402</f>
        <v>Medium</v>
      </c>
      <c r="G402" s="1">
        <f>'Raw Tickets'!$G$402</f>
        <v>31.7</v>
      </c>
      <c r="H402" s="1">
        <f>'Raw Tickets'!$H$402</f>
        <v>1</v>
      </c>
      <c r="I402" s="1">
        <f>'Raw Tickets'!$I$402</f>
        <v>4</v>
      </c>
      <c r="J402" s="6">
        <f>'Raw Tickets'!$J$402</f>
        <v>94.1</v>
      </c>
      <c r="K402" s="1" t="str">
        <f>'Raw Tickets'!$K$402</f>
        <v>Closed</v>
      </c>
      <c r="L402" s="1" t="str">
        <f>'Raw Tickets'!$L$402</f>
        <v>No</v>
      </c>
      <c r="M402" s="1" t="str">
        <f>'Raw Tickets'!$M$402</f>
        <v>No</v>
      </c>
      <c r="N402" s="1" t="str">
        <f>IFERROR(VLOOKUP(C402,Agents!$A$2:$E$26,2,FALSE),"")</f>
        <v>Arjun Agarwal</v>
      </c>
      <c r="O402" s="1" t="str">
        <f>IFERROR(INDEX(Agents!$D$2:$D$26,MATCH(C402,Agents!$A$2:$A$26,0)),"")</f>
        <v>Email Support</v>
      </c>
      <c r="P402" s="1" t="str">
        <f>IFERROR(VLOOKUP(C402,Agents!$A$2:$E$26,3,FALSE),"")</f>
        <v>Aman Verma</v>
      </c>
      <c r="Q402" s="1" t="str">
        <f>IFERROR(VLOOKUP(C402,Agents!$A$2:$E$26,5,FALSE),"")</f>
        <v>Bengaluru</v>
      </c>
      <c r="R402" s="1">
        <f>IFERROR(VLOOKUP(F402,#REF!,2,FALSE),0)</f>
        <v>0</v>
      </c>
      <c r="S402" s="1" t="str">
        <f t="shared" si="36"/>
        <v>Breached</v>
      </c>
      <c r="T402" s="1" t="str">
        <f t="shared" si="37"/>
        <v>Within Target</v>
      </c>
      <c r="U402" s="1" t="str">
        <f t="shared" si="38"/>
        <v>2025-07</v>
      </c>
      <c r="V402" s="1" t="str">
        <f t="shared" si="39"/>
        <v>Good</v>
      </c>
      <c r="W402" s="1" t="str">
        <f t="shared" si="40"/>
        <v>Pass</v>
      </c>
      <c r="X402" s="1" t="str">
        <f t="shared" si="41"/>
        <v>Unique</v>
      </c>
    </row>
    <row r="403" spans="1:24" ht="15" customHeight="1">
      <c r="A403" s="1" t="str">
        <f>'Raw Tickets'!$A$403</f>
        <v>T00402</v>
      </c>
      <c r="B403" s="4">
        <f>'Raw Tickets'!$B$403</f>
        <v>45828</v>
      </c>
      <c r="C403" s="1" t="str">
        <f>'Raw Tickets'!$C$403</f>
        <v>A006</v>
      </c>
      <c r="D403" s="1" t="str">
        <f>'Raw Tickets'!$D$403</f>
        <v>Chat</v>
      </c>
      <c r="E403" s="1" t="str">
        <f>'Raw Tickets'!$E$403</f>
        <v>Account Issue</v>
      </c>
      <c r="F403" s="1" t="str">
        <f>'Raw Tickets'!$F$403</f>
        <v>Low</v>
      </c>
      <c r="G403" s="1">
        <f>'Raw Tickets'!$G$403</f>
        <v>52</v>
      </c>
      <c r="H403" s="1">
        <f>'Raw Tickets'!$H$403</f>
        <v>33</v>
      </c>
      <c r="I403" s="1">
        <f>'Raw Tickets'!$I$403</f>
        <v>5</v>
      </c>
      <c r="J403" s="6">
        <f>'Raw Tickets'!$J$403</f>
        <v>93.7</v>
      </c>
      <c r="K403" s="1" t="str">
        <f>'Raw Tickets'!$K$403</f>
        <v>Closed</v>
      </c>
      <c r="L403" s="1" t="str">
        <f>'Raw Tickets'!$L$403</f>
        <v>No</v>
      </c>
      <c r="M403" s="1" t="str">
        <f>'Raw Tickets'!$M$403</f>
        <v>No</v>
      </c>
      <c r="N403" s="1" t="str">
        <f>IFERROR(VLOOKUP(C403,Agents!$A$2:$E$26,2,FALSE),"")</f>
        <v>Divya Shah</v>
      </c>
      <c r="O403" s="1" t="str">
        <f>IFERROR(INDEX(Agents!$D$2:$D$26,MATCH(C403,Agents!$A$2:$A$26,0)),"")</f>
        <v>Voice Support</v>
      </c>
      <c r="P403" s="1" t="str">
        <f>IFERROR(VLOOKUP(C403,Agents!$A$2:$E$26,3,FALSE),"")</f>
        <v>Kritika Shah</v>
      </c>
      <c r="Q403" s="1" t="str">
        <f>IFERROR(VLOOKUP(C403,Agents!$A$2:$E$26,5,FALSE),"")</f>
        <v>Gurugram</v>
      </c>
      <c r="R403" s="1">
        <f>IFERROR(VLOOKUP(F403,#REF!,2,FALSE),0)</f>
        <v>0</v>
      </c>
      <c r="S403" s="1" t="str">
        <f t="shared" si="36"/>
        <v>Breached</v>
      </c>
      <c r="T403" s="1" t="str">
        <f t="shared" si="37"/>
        <v>Late</v>
      </c>
      <c r="U403" s="1" t="str">
        <f t="shared" si="38"/>
        <v>2025-06</v>
      </c>
      <c r="V403" s="1" t="str">
        <f t="shared" si="39"/>
        <v>Good</v>
      </c>
      <c r="W403" s="1" t="str">
        <f t="shared" si="40"/>
        <v>Pass</v>
      </c>
      <c r="X403" s="1" t="str">
        <f t="shared" si="41"/>
        <v>Unique</v>
      </c>
    </row>
    <row r="404" spans="1:24" ht="15" customHeight="1">
      <c r="A404" s="1" t="str">
        <f>'Raw Tickets'!$A$404</f>
        <v>T00403</v>
      </c>
      <c r="B404" s="4">
        <f>'Raw Tickets'!$B$404</f>
        <v>45795</v>
      </c>
      <c r="C404" s="1" t="str">
        <f>'Raw Tickets'!$C$404</f>
        <v>A014</v>
      </c>
      <c r="D404" s="1" t="str">
        <f>'Raw Tickets'!$D$404</f>
        <v>Call</v>
      </c>
      <c r="E404" s="1" t="str">
        <f>'Raw Tickets'!$E$404</f>
        <v>Product Quality</v>
      </c>
      <c r="F404" s="1" t="str">
        <f>'Raw Tickets'!$F$404</f>
        <v>High</v>
      </c>
      <c r="G404" s="1">
        <f>'Raw Tickets'!$G$404</f>
        <v>8.6999999999999993</v>
      </c>
      <c r="H404" s="1">
        <f>'Raw Tickets'!$H$404</f>
        <v>22</v>
      </c>
      <c r="I404" s="1">
        <f>'Raw Tickets'!$I$404</f>
        <v>3</v>
      </c>
      <c r="J404" s="6">
        <f>'Raw Tickets'!$J$404</f>
        <v>77.7</v>
      </c>
      <c r="K404" s="1" t="str">
        <f>'Raw Tickets'!$K$404</f>
        <v>Open</v>
      </c>
      <c r="L404" s="1" t="str">
        <f>'Raw Tickets'!$L$404</f>
        <v>No</v>
      </c>
      <c r="M404" s="1" t="str">
        <f>'Raw Tickets'!$M$404</f>
        <v>No</v>
      </c>
      <c r="N404" s="1" t="str">
        <f>IFERROR(VLOOKUP(C404,Agents!$A$2:$E$26,2,FALSE),"")</f>
        <v>Ananya Jain</v>
      </c>
      <c r="O404" s="1" t="str">
        <f>IFERROR(INDEX(Agents!$D$2:$D$26,MATCH(C404,Agents!$A$2:$A$26,0)),"")</f>
        <v>Chat Support</v>
      </c>
      <c r="P404" s="1" t="str">
        <f>IFERROR(VLOOKUP(C404,Agents!$A$2:$E$26,3,FALSE),"")</f>
        <v>Nitin Gupta</v>
      </c>
      <c r="Q404" s="1" t="str">
        <f>IFERROR(VLOOKUP(C404,Agents!$A$2:$E$26,5,FALSE),"")</f>
        <v>Bengaluru</v>
      </c>
      <c r="R404" s="1">
        <f>IFERROR(VLOOKUP(F404,#REF!,2,FALSE),0)</f>
        <v>0</v>
      </c>
      <c r="S404" s="1" t="str">
        <f t="shared" si="36"/>
        <v>Breached</v>
      </c>
      <c r="T404" s="1" t="str">
        <f t="shared" si="37"/>
        <v>Within Target</v>
      </c>
      <c r="U404" s="1" t="str">
        <f t="shared" si="38"/>
        <v>2025-05</v>
      </c>
      <c r="V404" s="1" t="str">
        <f t="shared" si="39"/>
        <v>Average</v>
      </c>
      <c r="W404" s="1" t="str">
        <f t="shared" si="40"/>
        <v>Needs Coaching</v>
      </c>
      <c r="X404" s="1" t="str">
        <f t="shared" si="41"/>
        <v>Unique</v>
      </c>
    </row>
    <row r="405" spans="1:24" ht="15" customHeight="1">
      <c r="A405" s="1" t="str">
        <f>'Raw Tickets'!$A$405</f>
        <v>T00404</v>
      </c>
      <c r="B405" s="4">
        <f>'Raw Tickets'!$B$405</f>
        <v>45864</v>
      </c>
      <c r="C405" s="1" t="str">
        <f>'Raw Tickets'!$C$405</f>
        <v>A012</v>
      </c>
      <c r="D405" s="1" t="str">
        <f>'Raw Tickets'!$D$405</f>
        <v>Email</v>
      </c>
      <c r="E405" s="1" t="str">
        <f>'Raw Tickets'!$E$405</f>
        <v>Delivery Delay</v>
      </c>
      <c r="F405" s="1" t="str">
        <f>'Raw Tickets'!$F$405</f>
        <v>Medium</v>
      </c>
      <c r="G405" s="1">
        <f>'Raw Tickets'!$G$405</f>
        <v>35.700000000000003</v>
      </c>
      <c r="H405" s="1">
        <f>'Raw Tickets'!$H$405</f>
        <v>23</v>
      </c>
      <c r="I405" s="1">
        <f>'Raw Tickets'!$I$405</f>
        <v>5</v>
      </c>
      <c r="J405" s="6">
        <f>'Raw Tickets'!$J$405</f>
        <v>84</v>
      </c>
      <c r="K405" s="1" t="str">
        <f>'Raw Tickets'!$K$405</f>
        <v>Open</v>
      </c>
      <c r="L405" s="1" t="str">
        <f>'Raw Tickets'!$L$405</f>
        <v>No</v>
      </c>
      <c r="M405" s="1" t="str">
        <f>'Raw Tickets'!$M$405</f>
        <v>No</v>
      </c>
      <c r="N405" s="1" t="str">
        <f>IFERROR(VLOOKUP(C405,Agents!$A$2:$E$26,2,FALSE),"")</f>
        <v>Ankit Khan</v>
      </c>
      <c r="O405" s="1" t="str">
        <f>IFERROR(INDEX(Agents!$D$2:$D$26,MATCH(C405,Agents!$A$2:$A$26,0)),"")</f>
        <v>Chat Support</v>
      </c>
      <c r="P405" s="1" t="str">
        <f>IFERROR(VLOOKUP(C405,Agents!$A$2:$E$26,3,FALSE),"")</f>
        <v>Nitin Gupta</v>
      </c>
      <c r="Q405" s="1" t="str">
        <f>IFERROR(VLOOKUP(C405,Agents!$A$2:$E$26,5,FALSE),"")</f>
        <v>Bengaluru</v>
      </c>
      <c r="R405" s="1">
        <f>IFERROR(VLOOKUP(F405,#REF!,2,FALSE),0)</f>
        <v>0</v>
      </c>
      <c r="S405" s="1" t="str">
        <f t="shared" si="36"/>
        <v>Breached</v>
      </c>
      <c r="T405" s="1" t="str">
        <f t="shared" si="37"/>
        <v>Within Target</v>
      </c>
      <c r="U405" s="1" t="str">
        <f t="shared" si="38"/>
        <v>2025-07</v>
      </c>
      <c r="V405" s="1" t="str">
        <f t="shared" si="39"/>
        <v>Good</v>
      </c>
      <c r="W405" s="1" t="str">
        <f t="shared" si="40"/>
        <v>Needs Coaching</v>
      </c>
      <c r="X405" s="1" t="str">
        <f t="shared" si="41"/>
        <v>Unique</v>
      </c>
    </row>
    <row r="406" spans="1:24" ht="15" customHeight="1">
      <c r="A406" s="1" t="str">
        <f>'Raw Tickets'!$A$406</f>
        <v>T00405</v>
      </c>
      <c r="B406" s="4">
        <f>'Raw Tickets'!$B$406</f>
        <v>45949</v>
      </c>
      <c r="C406" s="1" t="str">
        <f>'Raw Tickets'!$C$406</f>
        <v>A011</v>
      </c>
      <c r="D406" s="1" t="str">
        <f>'Raw Tickets'!$D$406</f>
        <v>Chat</v>
      </c>
      <c r="E406" s="1" t="str">
        <f>'Raw Tickets'!$E$406</f>
        <v>Order Cancellation</v>
      </c>
      <c r="F406" s="1" t="str">
        <f>'Raw Tickets'!$F$406</f>
        <v>Medium</v>
      </c>
      <c r="G406" s="1">
        <f>'Raw Tickets'!$G$406</f>
        <v>25.4</v>
      </c>
      <c r="H406" s="1">
        <f>'Raw Tickets'!$H$406</f>
        <v>47</v>
      </c>
      <c r="I406" s="1">
        <f>'Raw Tickets'!$I$406</f>
        <v>5</v>
      </c>
      <c r="J406" s="6">
        <f>'Raw Tickets'!$J$406</f>
        <v>85.5</v>
      </c>
      <c r="K406" s="1" t="str">
        <f>'Raw Tickets'!$K$406</f>
        <v>Open</v>
      </c>
      <c r="L406" s="1" t="str">
        <f>'Raw Tickets'!$L$406</f>
        <v>No</v>
      </c>
      <c r="M406" s="1" t="str">
        <f>'Raw Tickets'!$M$406</f>
        <v>No</v>
      </c>
      <c r="N406" s="1" t="str">
        <f>IFERROR(VLOOKUP(C406,Agents!$A$2:$E$26,2,FALSE),"")</f>
        <v>Shreya Singh</v>
      </c>
      <c r="O406" s="1" t="str">
        <f>IFERROR(INDEX(Agents!$D$2:$D$26,MATCH(C406,Agents!$A$2:$A$26,0)),"")</f>
        <v>Chat Support</v>
      </c>
      <c r="P406" s="1" t="str">
        <f>IFERROR(VLOOKUP(C406,Agents!$A$2:$E$26,3,FALSE),"")</f>
        <v>Nitin Gupta</v>
      </c>
      <c r="Q406" s="1" t="str">
        <f>IFERROR(VLOOKUP(C406,Agents!$A$2:$E$26,5,FALSE),"")</f>
        <v>Noida</v>
      </c>
      <c r="R406" s="1">
        <f>IFERROR(VLOOKUP(F406,#REF!,2,FALSE),0)</f>
        <v>0</v>
      </c>
      <c r="S406" s="1" t="str">
        <f t="shared" si="36"/>
        <v>Breached</v>
      </c>
      <c r="T406" s="1" t="str">
        <f t="shared" si="37"/>
        <v>Late</v>
      </c>
      <c r="U406" s="1" t="str">
        <f t="shared" si="38"/>
        <v>2025-10</v>
      </c>
      <c r="V406" s="1" t="str">
        <f t="shared" si="39"/>
        <v>Good</v>
      </c>
      <c r="W406" s="1" t="str">
        <f t="shared" si="40"/>
        <v>Pass</v>
      </c>
      <c r="X406" s="1" t="str">
        <f t="shared" si="41"/>
        <v>Unique</v>
      </c>
    </row>
    <row r="407" spans="1:24" ht="15" customHeight="1">
      <c r="A407" s="1" t="str">
        <f>'Raw Tickets'!$A$407</f>
        <v>T00406</v>
      </c>
      <c r="B407" s="4">
        <f>'Raw Tickets'!$B$407</f>
        <v>45882</v>
      </c>
      <c r="C407" s="1" t="str">
        <f>'Raw Tickets'!$C$407</f>
        <v>A003</v>
      </c>
      <c r="D407" s="1" t="str">
        <f>'Raw Tickets'!$D$407</f>
        <v>Email</v>
      </c>
      <c r="E407" s="1" t="str">
        <f>'Raw Tickets'!$E$407</f>
        <v>Product Quality</v>
      </c>
      <c r="F407" s="1" t="str">
        <f>'Raw Tickets'!$F$407</f>
        <v>Low</v>
      </c>
      <c r="G407" s="1">
        <f>'Raw Tickets'!$G$407</f>
        <v>53.9</v>
      </c>
      <c r="H407" s="1">
        <f>'Raw Tickets'!$H$407</f>
        <v>32</v>
      </c>
      <c r="I407" s="1">
        <f>'Raw Tickets'!$I$407</f>
        <v>4</v>
      </c>
      <c r="J407" s="6">
        <f>'Raw Tickets'!$J$407</f>
        <v>83.2</v>
      </c>
      <c r="K407" s="1" t="str">
        <f>'Raw Tickets'!$K$407</f>
        <v>Closed</v>
      </c>
      <c r="L407" s="1" t="str">
        <f>'Raw Tickets'!$L$407</f>
        <v>No</v>
      </c>
      <c r="M407" s="1" t="str">
        <f>'Raw Tickets'!$M$407</f>
        <v>No</v>
      </c>
      <c r="N407" s="1" t="str">
        <f>IFERROR(VLOOKUP(C407,Agents!$A$2:$E$26,2,FALSE),"")</f>
        <v>Kabir Verma</v>
      </c>
      <c r="O407" s="1" t="str">
        <f>IFERROR(INDEX(Agents!$D$2:$D$26,MATCH(C407,Agents!$A$2:$A$26,0)),"")</f>
        <v>Email Support</v>
      </c>
      <c r="P407" s="1" t="str">
        <f>IFERROR(VLOOKUP(C407,Agents!$A$2:$E$26,3,FALSE),"")</f>
        <v>Aman Verma</v>
      </c>
      <c r="Q407" s="1" t="str">
        <f>IFERROR(VLOOKUP(C407,Agents!$A$2:$E$26,5,FALSE),"")</f>
        <v>Gurugram</v>
      </c>
      <c r="R407" s="1">
        <f>IFERROR(VLOOKUP(F407,#REF!,2,FALSE),0)</f>
        <v>0</v>
      </c>
      <c r="S407" s="1" t="str">
        <f t="shared" si="36"/>
        <v>Breached</v>
      </c>
      <c r="T407" s="1" t="str">
        <f t="shared" si="37"/>
        <v>Late</v>
      </c>
      <c r="U407" s="1" t="str">
        <f t="shared" si="38"/>
        <v>2025-08</v>
      </c>
      <c r="V407" s="1" t="str">
        <f t="shared" si="39"/>
        <v>Good</v>
      </c>
      <c r="W407" s="1" t="str">
        <f t="shared" si="40"/>
        <v>Needs Coaching</v>
      </c>
      <c r="X407" s="1" t="str">
        <f t="shared" si="41"/>
        <v>Unique</v>
      </c>
    </row>
    <row r="408" spans="1:24" ht="15" customHeight="1">
      <c r="A408" s="1" t="str">
        <f>'Raw Tickets'!$A$408</f>
        <v>T00407</v>
      </c>
      <c r="B408" s="4">
        <f>'Raw Tickets'!$B$408</f>
        <v>45898</v>
      </c>
      <c r="C408" s="1" t="str">
        <f>'Raw Tickets'!$C$408</f>
        <v>A003</v>
      </c>
      <c r="D408" s="1" t="str">
        <f>'Raw Tickets'!$D$408</f>
        <v>Call</v>
      </c>
      <c r="E408" s="1" t="str">
        <f>'Raw Tickets'!$E$408</f>
        <v>Refund</v>
      </c>
      <c r="F408" s="1" t="str">
        <f>'Raw Tickets'!$F$408</f>
        <v>Medium</v>
      </c>
      <c r="G408" s="1">
        <f>'Raw Tickets'!$G$408</f>
        <v>2.6</v>
      </c>
      <c r="H408" s="1">
        <f>'Raw Tickets'!$H$408</f>
        <v>65</v>
      </c>
      <c r="I408" s="1">
        <f>'Raw Tickets'!$I$408</f>
        <v>4</v>
      </c>
      <c r="J408" s="6">
        <f>'Raw Tickets'!$J$408</f>
        <v>62.5</v>
      </c>
      <c r="K408" s="1" t="str">
        <f>'Raw Tickets'!$K$408</f>
        <v>Closed</v>
      </c>
      <c r="L408" s="1" t="str">
        <f>'Raw Tickets'!$L$408</f>
        <v>No</v>
      </c>
      <c r="M408" s="1" t="str">
        <f>'Raw Tickets'!$M$408</f>
        <v>No</v>
      </c>
      <c r="N408" s="1" t="str">
        <f>IFERROR(VLOOKUP(C408,Agents!$A$2:$E$26,2,FALSE),"")</f>
        <v>Kabir Verma</v>
      </c>
      <c r="O408" s="1" t="str">
        <f>IFERROR(INDEX(Agents!$D$2:$D$26,MATCH(C408,Agents!$A$2:$A$26,0)),"")</f>
        <v>Email Support</v>
      </c>
      <c r="P408" s="1" t="str">
        <f>IFERROR(VLOOKUP(C408,Agents!$A$2:$E$26,3,FALSE),"")</f>
        <v>Aman Verma</v>
      </c>
      <c r="Q408" s="1" t="str">
        <f>IFERROR(VLOOKUP(C408,Agents!$A$2:$E$26,5,FALSE),"")</f>
        <v>Gurugram</v>
      </c>
      <c r="R408" s="1">
        <f>IFERROR(VLOOKUP(F408,#REF!,2,FALSE),0)</f>
        <v>0</v>
      </c>
      <c r="S408" s="1" t="str">
        <f t="shared" si="36"/>
        <v>Breached</v>
      </c>
      <c r="T408" s="1" t="str">
        <f t="shared" si="37"/>
        <v>Late</v>
      </c>
      <c r="U408" s="1" t="str">
        <f t="shared" si="38"/>
        <v>2025-08</v>
      </c>
      <c r="V408" s="1" t="str">
        <f t="shared" si="39"/>
        <v>Good</v>
      </c>
      <c r="W408" s="1" t="str">
        <f t="shared" si="40"/>
        <v>Needs Coaching</v>
      </c>
      <c r="X408" s="1" t="str">
        <f t="shared" si="41"/>
        <v>Unique</v>
      </c>
    </row>
    <row r="409" spans="1:24" ht="15" customHeight="1">
      <c r="A409" s="1" t="str">
        <f>'Raw Tickets'!$A$409</f>
        <v>T00408</v>
      </c>
      <c r="B409" s="4">
        <f>'Raw Tickets'!$B$409</f>
        <v>45777</v>
      </c>
      <c r="C409" s="1" t="str">
        <f>'Raw Tickets'!$C$409</f>
        <v>A011</v>
      </c>
      <c r="D409" s="1" t="str">
        <f>'Raw Tickets'!$D$409</f>
        <v>Chat</v>
      </c>
      <c r="E409" s="1" t="str">
        <f>'Raw Tickets'!$E$409</f>
        <v>Order Cancellation</v>
      </c>
      <c r="F409" s="1" t="str">
        <f>'Raw Tickets'!$F$409</f>
        <v>Medium</v>
      </c>
      <c r="G409" s="1">
        <f>'Raw Tickets'!$G$409</f>
        <v>5.7</v>
      </c>
      <c r="H409" s="1">
        <f>'Raw Tickets'!$H$409</f>
        <v>51</v>
      </c>
      <c r="I409" s="1">
        <f>'Raw Tickets'!$I$409</f>
        <v>5</v>
      </c>
      <c r="J409" s="6">
        <f>'Raw Tickets'!$J$409</f>
        <v>87.7</v>
      </c>
      <c r="K409" s="1" t="str">
        <f>'Raw Tickets'!$K$409</f>
        <v>Closed</v>
      </c>
      <c r="L409" s="1" t="str">
        <f>'Raw Tickets'!$L$409</f>
        <v>No</v>
      </c>
      <c r="M409" s="1" t="str">
        <f>'Raw Tickets'!$M$409</f>
        <v>No</v>
      </c>
      <c r="N409" s="1" t="str">
        <f>IFERROR(VLOOKUP(C409,Agents!$A$2:$E$26,2,FALSE),"")</f>
        <v>Shreya Singh</v>
      </c>
      <c r="O409" s="1" t="str">
        <f>IFERROR(INDEX(Agents!$D$2:$D$26,MATCH(C409,Agents!$A$2:$A$26,0)),"")</f>
        <v>Chat Support</v>
      </c>
      <c r="P409" s="1" t="str">
        <f>IFERROR(VLOOKUP(C409,Agents!$A$2:$E$26,3,FALSE),"")</f>
        <v>Nitin Gupta</v>
      </c>
      <c r="Q409" s="1" t="str">
        <f>IFERROR(VLOOKUP(C409,Agents!$A$2:$E$26,5,FALSE),"")</f>
        <v>Noida</v>
      </c>
      <c r="R409" s="1">
        <f>IFERROR(VLOOKUP(F409,#REF!,2,FALSE),0)</f>
        <v>0</v>
      </c>
      <c r="S409" s="1" t="str">
        <f t="shared" si="36"/>
        <v>Breached</v>
      </c>
      <c r="T409" s="1" t="str">
        <f t="shared" si="37"/>
        <v>Late</v>
      </c>
      <c r="U409" s="1" t="str">
        <f t="shared" si="38"/>
        <v>2025-04</v>
      </c>
      <c r="V409" s="1" t="str">
        <f t="shared" si="39"/>
        <v>Good</v>
      </c>
      <c r="W409" s="1" t="str">
        <f t="shared" si="40"/>
        <v>Pass</v>
      </c>
      <c r="X409" s="1" t="str">
        <f t="shared" si="41"/>
        <v>Unique</v>
      </c>
    </row>
    <row r="410" spans="1:24" ht="15" customHeight="1">
      <c r="A410" s="1" t="str">
        <f>'Raw Tickets'!$A$410</f>
        <v>T00409</v>
      </c>
      <c r="B410" s="4">
        <f>'Raw Tickets'!$B$410</f>
        <v>45860</v>
      </c>
      <c r="C410" s="1" t="str">
        <f>'Raw Tickets'!$C$410</f>
        <v>A001</v>
      </c>
      <c r="D410" s="1" t="str">
        <f>'Raw Tickets'!$D$410</f>
        <v>Email</v>
      </c>
      <c r="E410" s="1" t="str">
        <f>'Raw Tickets'!$E$410</f>
        <v>Order Cancellation</v>
      </c>
      <c r="F410" s="1" t="str">
        <f>'Raw Tickets'!$F$410</f>
        <v>High</v>
      </c>
      <c r="G410" s="1">
        <f>'Raw Tickets'!$G$410</f>
        <v>8.3000000000000007</v>
      </c>
      <c r="H410" s="1">
        <f>'Raw Tickets'!$H$410</f>
        <v>5</v>
      </c>
      <c r="I410" s="1">
        <f>'Raw Tickets'!$I$410</f>
        <v>3</v>
      </c>
      <c r="J410" s="6">
        <f>'Raw Tickets'!$J$410</f>
        <v>87.3</v>
      </c>
      <c r="K410" s="1" t="str">
        <f>'Raw Tickets'!$K$410</f>
        <v>Closed</v>
      </c>
      <c r="L410" s="1" t="str">
        <f>'Raw Tickets'!$L$410</f>
        <v>No</v>
      </c>
      <c r="M410" s="1" t="str">
        <f>'Raw Tickets'!$M$410</f>
        <v>No</v>
      </c>
      <c r="N410" s="1" t="str">
        <f>IFERROR(VLOOKUP(C410,Agents!$A$2:$E$26,2,FALSE),"")</f>
        <v>Ishita Patel</v>
      </c>
      <c r="O410" s="1" t="str">
        <f>IFERROR(INDEX(Agents!$D$2:$D$26,MATCH(C410,Agents!$A$2:$A$26,0)),"")</f>
        <v>Email Support</v>
      </c>
      <c r="P410" s="1" t="str">
        <f>IFERROR(VLOOKUP(C410,Agents!$A$2:$E$26,3,FALSE),"")</f>
        <v>Aman Verma</v>
      </c>
      <c r="Q410" s="1" t="str">
        <f>IFERROR(VLOOKUP(C410,Agents!$A$2:$E$26,5,FALSE),"")</f>
        <v>Gurugram</v>
      </c>
      <c r="R410" s="1">
        <f>IFERROR(VLOOKUP(F410,#REF!,2,FALSE),0)</f>
        <v>0</v>
      </c>
      <c r="S410" s="1" t="str">
        <f t="shared" si="36"/>
        <v>Breached</v>
      </c>
      <c r="T410" s="1" t="str">
        <f t="shared" si="37"/>
        <v>Within Target</v>
      </c>
      <c r="U410" s="1" t="str">
        <f t="shared" si="38"/>
        <v>2025-07</v>
      </c>
      <c r="V410" s="1" t="str">
        <f t="shared" si="39"/>
        <v>Average</v>
      </c>
      <c r="W410" s="1" t="str">
        <f t="shared" si="40"/>
        <v>Pass</v>
      </c>
      <c r="X410" s="1" t="str">
        <f t="shared" si="41"/>
        <v>Unique</v>
      </c>
    </row>
    <row r="411" spans="1:24" ht="15" customHeight="1">
      <c r="A411" s="1" t="str">
        <f>'Raw Tickets'!$A$411</f>
        <v>T00410</v>
      </c>
      <c r="B411" s="4">
        <f>'Raw Tickets'!$B$411</f>
        <v>45751</v>
      </c>
      <c r="C411" s="1" t="str">
        <f>'Raw Tickets'!$C$411</f>
        <v>A003</v>
      </c>
      <c r="D411" s="1" t="str">
        <f>'Raw Tickets'!$D$411</f>
        <v>Call</v>
      </c>
      <c r="E411" s="1" t="str">
        <f>'Raw Tickets'!$E$411</f>
        <v>Product Quality</v>
      </c>
      <c r="F411" s="1" t="str">
        <f>'Raw Tickets'!$F$411</f>
        <v>Low</v>
      </c>
      <c r="G411" s="1">
        <f>'Raw Tickets'!$G$411</f>
        <v>35.6</v>
      </c>
      <c r="H411" s="1">
        <f>'Raw Tickets'!$H$411</f>
        <v>50</v>
      </c>
      <c r="I411" s="1">
        <f>'Raw Tickets'!$I$411</f>
        <v>4</v>
      </c>
      <c r="J411" s="6">
        <f>'Raw Tickets'!$J$411</f>
        <v>88.1</v>
      </c>
      <c r="K411" s="1" t="str">
        <f>'Raw Tickets'!$K$411</f>
        <v>Open</v>
      </c>
      <c r="L411" s="1" t="str">
        <f>'Raw Tickets'!$L$411</f>
        <v>No</v>
      </c>
      <c r="M411" s="1" t="str">
        <f>'Raw Tickets'!$M$411</f>
        <v>No</v>
      </c>
      <c r="N411" s="1" t="str">
        <f>IFERROR(VLOOKUP(C411,Agents!$A$2:$E$26,2,FALSE),"")</f>
        <v>Kabir Verma</v>
      </c>
      <c r="O411" s="1" t="str">
        <f>IFERROR(INDEX(Agents!$D$2:$D$26,MATCH(C411,Agents!$A$2:$A$26,0)),"")</f>
        <v>Email Support</v>
      </c>
      <c r="P411" s="1" t="str">
        <f>IFERROR(VLOOKUP(C411,Agents!$A$2:$E$26,3,FALSE),"")</f>
        <v>Aman Verma</v>
      </c>
      <c r="Q411" s="1" t="str">
        <f>IFERROR(VLOOKUP(C411,Agents!$A$2:$E$26,5,FALSE),"")</f>
        <v>Gurugram</v>
      </c>
      <c r="R411" s="1">
        <f>IFERROR(VLOOKUP(F411,#REF!,2,FALSE),0)</f>
        <v>0</v>
      </c>
      <c r="S411" s="1" t="str">
        <f t="shared" si="36"/>
        <v>Breached</v>
      </c>
      <c r="T411" s="1" t="str">
        <f t="shared" si="37"/>
        <v>Late</v>
      </c>
      <c r="U411" s="1" t="str">
        <f t="shared" si="38"/>
        <v>2025-04</v>
      </c>
      <c r="V411" s="1" t="str">
        <f t="shared" si="39"/>
        <v>Good</v>
      </c>
      <c r="W411" s="1" t="str">
        <f t="shared" si="40"/>
        <v>Pass</v>
      </c>
      <c r="X411" s="1" t="str">
        <f t="shared" si="41"/>
        <v>Unique</v>
      </c>
    </row>
    <row r="412" spans="1:24" ht="15" customHeight="1">
      <c r="A412" s="1" t="str">
        <f>'Raw Tickets'!$A$412</f>
        <v>T00411</v>
      </c>
      <c r="B412" s="4">
        <f>'Raw Tickets'!$B$412</f>
        <v>45971</v>
      </c>
      <c r="C412" s="1" t="str">
        <f>'Raw Tickets'!$C$412</f>
        <v>A003</v>
      </c>
      <c r="D412" s="1" t="str">
        <f>'Raw Tickets'!$D$412</f>
        <v>Chat</v>
      </c>
      <c r="E412" s="1" t="str">
        <f>'Raw Tickets'!$E$412</f>
        <v>Payment Failure</v>
      </c>
      <c r="F412" s="1" t="str">
        <f>'Raw Tickets'!$F$412</f>
        <v>Medium</v>
      </c>
      <c r="G412" s="1">
        <f>'Raw Tickets'!$G$412</f>
        <v>0.5</v>
      </c>
      <c r="H412" s="1">
        <f>'Raw Tickets'!$H$412</f>
        <v>67</v>
      </c>
      <c r="I412" s="1">
        <f>'Raw Tickets'!$I$412</f>
        <v>3</v>
      </c>
      <c r="J412" s="6">
        <f>'Raw Tickets'!$J$412</f>
        <v>86</v>
      </c>
      <c r="K412" s="1" t="str">
        <f>'Raw Tickets'!$K$412</f>
        <v>Closed</v>
      </c>
      <c r="L412" s="1" t="str">
        <f>'Raw Tickets'!$L$412</f>
        <v>No</v>
      </c>
      <c r="M412" s="1" t="str">
        <f>'Raw Tickets'!$M$412</f>
        <v>No</v>
      </c>
      <c r="N412" s="1" t="str">
        <f>IFERROR(VLOOKUP(C412,Agents!$A$2:$E$26,2,FALSE),"")</f>
        <v>Kabir Verma</v>
      </c>
      <c r="O412" s="1" t="str">
        <f>IFERROR(INDEX(Agents!$D$2:$D$26,MATCH(C412,Agents!$A$2:$A$26,0)),"")</f>
        <v>Email Support</v>
      </c>
      <c r="P412" s="1" t="str">
        <f>IFERROR(VLOOKUP(C412,Agents!$A$2:$E$26,3,FALSE),"")</f>
        <v>Aman Verma</v>
      </c>
      <c r="Q412" s="1" t="str">
        <f>IFERROR(VLOOKUP(C412,Agents!$A$2:$E$26,5,FALSE),"")</f>
        <v>Gurugram</v>
      </c>
      <c r="R412" s="1">
        <f>IFERROR(VLOOKUP(F412,#REF!,2,FALSE),0)</f>
        <v>0</v>
      </c>
      <c r="S412" s="1" t="str">
        <f t="shared" si="36"/>
        <v>Breached</v>
      </c>
      <c r="T412" s="1" t="str">
        <f t="shared" si="37"/>
        <v>Late</v>
      </c>
      <c r="U412" s="1" t="str">
        <f t="shared" si="38"/>
        <v>2025-11</v>
      </c>
      <c r="V412" s="1" t="str">
        <f t="shared" si="39"/>
        <v>Average</v>
      </c>
      <c r="W412" s="1" t="str">
        <f t="shared" si="40"/>
        <v>Pass</v>
      </c>
      <c r="X412" s="1" t="str">
        <f t="shared" si="41"/>
        <v>Unique</v>
      </c>
    </row>
    <row r="413" spans="1:24" ht="15" customHeight="1">
      <c r="A413" s="1" t="str">
        <f>'Raw Tickets'!$A$413</f>
        <v>T00412</v>
      </c>
      <c r="B413" s="4">
        <f>'Raw Tickets'!$B$413</f>
        <v>45942</v>
      </c>
      <c r="C413" s="1" t="str">
        <f>'Raw Tickets'!$C$413</f>
        <v>A021</v>
      </c>
      <c r="D413" s="1" t="str">
        <f>'Raw Tickets'!$D$413</f>
        <v>Chat</v>
      </c>
      <c r="E413" s="1" t="str">
        <f>'Raw Tickets'!$E$413</f>
        <v>Account Issue</v>
      </c>
      <c r="F413" s="1" t="str">
        <f>'Raw Tickets'!$F$413</f>
        <v>Low</v>
      </c>
      <c r="G413" s="1">
        <f>'Raw Tickets'!$G$413</f>
        <v>60.8</v>
      </c>
      <c r="H413" s="1">
        <f>'Raw Tickets'!$H$413</f>
        <v>66</v>
      </c>
      <c r="I413" s="1">
        <f>'Raw Tickets'!$I$413</f>
        <v>4</v>
      </c>
      <c r="J413" s="6">
        <f>'Raw Tickets'!$J$413</f>
        <v>80</v>
      </c>
      <c r="K413" s="1" t="str">
        <f>'Raw Tickets'!$K$413</f>
        <v>Closed</v>
      </c>
      <c r="L413" s="1" t="str">
        <f>'Raw Tickets'!$L$413</f>
        <v>No</v>
      </c>
      <c r="M413" s="1" t="str">
        <f>'Raw Tickets'!$M$413</f>
        <v>No</v>
      </c>
      <c r="N413" s="1" t="str">
        <f>IFERROR(VLOOKUP(C413,Agents!$A$2:$E$26,2,FALSE),"")</f>
        <v>Nikhil Bansal</v>
      </c>
      <c r="O413" s="1" t="str">
        <f>IFERROR(INDEX(Agents!$D$2:$D$26,MATCH(C413,Agents!$A$2:$A$26,0)),"")</f>
        <v>Seller Support</v>
      </c>
      <c r="P413" s="1" t="str">
        <f>IFERROR(VLOOKUP(C413,Agents!$A$2:$E$26,3,FALSE),"")</f>
        <v>Vivek Jain</v>
      </c>
      <c r="Q413" s="1" t="str">
        <f>IFERROR(VLOOKUP(C413,Agents!$A$2:$E$26,5,FALSE),"")</f>
        <v>Bengaluru</v>
      </c>
      <c r="R413" s="1">
        <f>IFERROR(VLOOKUP(F413,#REF!,2,FALSE),0)</f>
        <v>0</v>
      </c>
      <c r="S413" s="1" t="str">
        <f t="shared" si="36"/>
        <v>Breached</v>
      </c>
      <c r="T413" s="1" t="str">
        <f t="shared" si="37"/>
        <v>Late</v>
      </c>
      <c r="U413" s="1" t="str">
        <f t="shared" si="38"/>
        <v>2025-10</v>
      </c>
      <c r="V413" s="1" t="str">
        <f t="shared" si="39"/>
        <v>Good</v>
      </c>
      <c r="W413" s="1" t="str">
        <f t="shared" si="40"/>
        <v>Needs Coaching</v>
      </c>
      <c r="X413" s="1" t="str">
        <f t="shared" si="41"/>
        <v>Unique</v>
      </c>
    </row>
    <row r="414" spans="1:24" ht="15" customHeight="1">
      <c r="A414" s="1" t="str">
        <f>'Raw Tickets'!$A$414</f>
        <v>T00413</v>
      </c>
      <c r="B414" s="4">
        <f>'Raw Tickets'!$B$414</f>
        <v>45686</v>
      </c>
      <c r="C414" s="1" t="str">
        <f>'Raw Tickets'!$C$414</f>
        <v>A008</v>
      </c>
      <c r="D414" s="1" t="str">
        <f>'Raw Tickets'!$D$414</f>
        <v>Email</v>
      </c>
      <c r="E414" s="1" t="str">
        <f>'Raw Tickets'!$E$414</f>
        <v>Refund</v>
      </c>
      <c r="F414" s="1" t="str">
        <f>'Raw Tickets'!$F$414</f>
        <v>Low</v>
      </c>
      <c r="G414" s="1">
        <f>'Raw Tickets'!$G$414</f>
        <v>50</v>
      </c>
      <c r="H414" s="1">
        <f>'Raw Tickets'!$H$414</f>
        <v>1</v>
      </c>
      <c r="I414" s="1">
        <f>'Raw Tickets'!$I$414</f>
        <v>2</v>
      </c>
      <c r="J414" s="6">
        <f>'Raw Tickets'!$J$414</f>
        <v>83.7</v>
      </c>
      <c r="K414" s="1" t="str">
        <f>'Raw Tickets'!$K$414</f>
        <v>Closed</v>
      </c>
      <c r="L414" s="1" t="str">
        <f>'Raw Tickets'!$L$414</f>
        <v>No</v>
      </c>
      <c r="M414" s="1" t="str">
        <f>'Raw Tickets'!$M$414</f>
        <v>No</v>
      </c>
      <c r="N414" s="1" t="str">
        <f>IFERROR(VLOOKUP(C414,Agents!$A$2:$E$26,2,FALSE),"")</f>
        <v>Ananya Mishra</v>
      </c>
      <c r="O414" s="1" t="str">
        <f>IFERROR(INDEX(Agents!$D$2:$D$26,MATCH(C414,Agents!$A$2:$A$26,0)),"")</f>
        <v>Voice Support</v>
      </c>
      <c r="P414" s="1" t="str">
        <f>IFERROR(VLOOKUP(C414,Agents!$A$2:$E$26,3,FALSE),"")</f>
        <v>Kritika Shah</v>
      </c>
      <c r="Q414" s="1" t="str">
        <f>IFERROR(VLOOKUP(C414,Agents!$A$2:$E$26,5,FALSE),"")</f>
        <v>Hyderabad</v>
      </c>
      <c r="R414" s="1">
        <f>IFERROR(VLOOKUP(F414,#REF!,2,FALSE),0)</f>
        <v>0</v>
      </c>
      <c r="S414" s="1" t="str">
        <f t="shared" si="36"/>
        <v>Breached</v>
      </c>
      <c r="T414" s="1" t="str">
        <f t="shared" si="37"/>
        <v>Within Target</v>
      </c>
      <c r="U414" s="1" t="str">
        <f t="shared" si="38"/>
        <v>2025-01</v>
      </c>
      <c r="V414" s="1" t="str">
        <f t="shared" si="39"/>
        <v>Poor</v>
      </c>
      <c r="W414" s="1" t="str">
        <f t="shared" si="40"/>
        <v>Needs Coaching</v>
      </c>
      <c r="X414" s="1" t="str">
        <f t="shared" si="41"/>
        <v>Unique</v>
      </c>
    </row>
    <row r="415" spans="1:24" ht="15" customHeight="1">
      <c r="A415" s="1" t="str">
        <f>'Raw Tickets'!$A$415</f>
        <v>T00414</v>
      </c>
      <c r="B415" s="4">
        <f>'Raw Tickets'!$B$415</f>
        <v>45984</v>
      </c>
      <c r="C415" s="1" t="str">
        <f>'Raw Tickets'!$C$415</f>
        <v>A012</v>
      </c>
      <c r="D415" s="1" t="str">
        <f>'Raw Tickets'!$D$415</f>
        <v>Call</v>
      </c>
      <c r="E415" s="1" t="str">
        <f>'Raw Tickets'!$E$415</f>
        <v>Account Issue</v>
      </c>
      <c r="F415" s="1" t="str">
        <f>'Raw Tickets'!$F$415</f>
        <v>Low</v>
      </c>
      <c r="G415" s="1">
        <f>'Raw Tickets'!$G$415</f>
        <v>25.5</v>
      </c>
      <c r="H415" s="1">
        <f>'Raw Tickets'!$H$415</f>
        <v>40</v>
      </c>
      <c r="I415" s="1">
        <f>'Raw Tickets'!$I$415</f>
        <v>2</v>
      </c>
      <c r="J415" s="6">
        <f>'Raw Tickets'!$J$415</f>
        <v>81.2</v>
      </c>
      <c r="K415" s="1" t="str">
        <f>'Raw Tickets'!$K$415</f>
        <v>Closed</v>
      </c>
      <c r="L415" s="1" t="str">
        <f>'Raw Tickets'!$L$415</f>
        <v>Yes</v>
      </c>
      <c r="M415" s="1" t="str">
        <f>'Raw Tickets'!$M$415</f>
        <v>No</v>
      </c>
      <c r="N415" s="1" t="str">
        <f>IFERROR(VLOOKUP(C415,Agents!$A$2:$E$26,2,FALSE),"")</f>
        <v>Ankit Khan</v>
      </c>
      <c r="O415" s="1" t="str">
        <f>IFERROR(INDEX(Agents!$D$2:$D$26,MATCH(C415,Agents!$A$2:$A$26,0)),"")</f>
        <v>Chat Support</v>
      </c>
      <c r="P415" s="1" t="str">
        <f>IFERROR(VLOOKUP(C415,Agents!$A$2:$E$26,3,FALSE),"")</f>
        <v>Nitin Gupta</v>
      </c>
      <c r="Q415" s="1" t="str">
        <f>IFERROR(VLOOKUP(C415,Agents!$A$2:$E$26,5,FALSE),"")</f>
        <v>Bengaluru</v>
      </c>
      <c r="R415" s="1">
        <f>IFERROR(VLOOKUP(F415,#REF!,2,FALSE),0)</f>
        <v>0</v>
      </c>
      <c r="S415" s="1" t="str">
        <f t="shared" si="36"/>
        <v>Breached</v>
      </c>
      <c r="T415" s="1" t="str">
        <f t="shared" si="37"/>
        <v>Late</v>
      </c>
      <c r="U415" s="1" t="str">
        <f t="shared" si="38"/>
        <v>2025-11</v>
      </c>
      <c r="V415" s="1" t="str">
        <f t="shared" si="39"/>
        <v>Poor</v>
      </c>
      <c r="W415" s="1" t="str">
        <f t="shared" si="40"/>
        <v>Needs Coaching</v>
      </c>
      <c r="X415" s="1" t="str">
        <f t="shared" si="41"/>
        <v>Unique</v>
      </c>
    </row>
    <row r="416" spans="1:24" ht="15" customHeight="1">
      <c r="A416" s="1" t="str">
        <f>'Raw Tickets'!$A$416</f>
        <v>T00415</v>
      </c>
      <c r="B416" s="4">
        <f>'Raw Tickets'!$B$416</f>
        <v>45734</v>
      </c>
      <c r="C416" s="1" t="str">
        <f>'Raw Tickets'!$C$416</f>
        <v>A002</v>
      </c>
      <c r="D416" s="1" t="str">
        <f>'Raw Tickets'!$D$416</f>
        <v>Call</v>
      </c>
      <c r="E416" s="1" t="str">
        <f>'Raw Tickets'!$E$416</f>
        <v>Delivery Delay</v>
      </c>
      <c r="F416" s="1" t="str">
        <f>'Raw Tickets'!$F$416</f>
        <v>Medium</v>
      </c>
      <c r="G416" s="1">
        <f>'Raw Tickets'!$G$416</f>
        <v>28.2</v>
      </c>
      <c r="H416" s="1">
        <f>'Raw Tickets'!$H$416</f>
        <v>52</v>
      </c>
      <c r="I416" s="1">
        <f>'Raw Tickets'!$I$416</f>
        <v>4</v>
      </c>
      <c r="J416" s="6">
        <f>'Raw Tickets'!$J$416</f>
        <v>80.599999999999994</v>
      </c>
      <c r="K416" s="1" t="str">
        <f>'Raw Tickets'!$K$416</f>
        <v>Closed</v>
      </c>
      <c r="L416" s="1" t="str">
        <f>'Raw Tickets'!$L$416</f>
        <v>No</v>
      </c>
      <c r="M416" s="1" t="str">
        <f>'Raw Tickets'!$M$416</f>
        <v>No</v>
      </c>
      <c r="N416" s="1" t="str">
        <f>IFERROR(VLOOKUP(C416,Agents!$A$2:$E$26,2,FALSE),"")</f>
        <v>Gaurav Khan</v>
      </c>
      <c r="O416" s="1" t="str">
        <f>IFERROR(INDEX(Agents!$D$2:$D$26,MATCH(C416,Agents!$A$2:$A$26,0)),"")</f>
        <v>Email Support</v>
      </c>
      <c r="P416" s="1" t="str">
        <f>IFERROR(VLOOKUP(C416,Agents!$A$2:$E$26,3,FALSE),"")</f>
        <v>Aman Verma</v>
      </c>
      <c r="Q416" s="1" t="str">
        <f>IFERROR(VLOOKUP(C416,Agents!$A$2:$E$26,5,FALSE),"")</f>
        <v>Noida</v>
      </c>
      <c r="R416" s="1">
        <f>IFERROR(VLOOKUP(F416,#REF!,2,FALSE),0)</f>
        <v>0</v>
      </c>
      <c r="S416" s="1" t="str">
        <f t="shared" si="36"/>
        <v>Breached</v>
      </c>
      <c r="T416" s="1" t="str">
        <f t="shared" si="37"/>
        <v>Late</v>
      </c>
      <c r="U416" s="1" t="str">
        <f t="shared" si="38"/>
        <v>2025-03</v>
      </c>
      <c r="V416" s="1" t="str">
        <f t="shared" si="39"/>
        <v>Good</v>
      </c>
      <c r="W416" s="1" t="str">
        <f t="shared" si="40"/>
        <v>Needs Coaching</v>
      </c>
      <c r="X416" s="1" t="str">
        <f t="shared" si="41"/>
        <v>Unique</v>
      </c>
    </row>
    <row r="417" spans="1:24" ht="15" customHeight="1">
      <c r="A417" s="1" t="str">
        <f>'Raw Tickets'!$A$417</f>
        <v>T00416</v>
      </c>
      <c r="B417" s="4">
        <f>'Raw Tickets'!$B$417</f>
        <v>45943</v>
      </c>
      <c r="C417" s="1" t="str">
        <f>'Raw Tickets'!$C$417</f>
        <v>A018</v>
      </c>
      <c r="D417" s="1" t="str">
        <f>'Raw Tickets'!$D$417</f>
        <v>Call</v>
      </c>
      <c r="E417" s="1" t="str">
        <f>'Raw Tickets'!$E$417</f>
        <v>Account Issue</v>
      </c>
      <c r="F417" s="1" t="str">
        <f>'Raw Tickets'!$F$417</f>
        <v>High</v>
      </c>
      <c r="G417" s="1">
        <f>'Raw Tickets'!$G$417</f>
        <v>8.8000000000000007</v>
      </c>
      <c r="H417" s="1">
        <f>'Raw Tickets'!$H$417</f>
        <v>24</v>
      </c>
      <c r="I417" s="1">
        <f>'Raw Tickets'!$I$417</f>
        <v>5</v>
      </c>
      <c r="J417" s="6">
        <f>'Raw Tickets'!$J$417</f>
        <v>98</v>
      </c>
      <c r="K417" s="1" t="str">
        <f>'Raw Tickets'!$K$417</f>
        <v>Closed</v>
      </c>
      <c r="L417" s="1" t="str">
        <f>'Raw Tickets'!$L$417</f>
        <v>No</v>
      </c>
      <c r="M417" s="1" t="str">
        <f>'Raw Tickets'!$M$417</f>
        <v>Yes</v>
      </c>
      <c r="N417" s="1" t="str">
        <f>IFERROR(VLOOKUP(C417,Agents!$A$2:$E$26,2,FALSE),"")</f>
        <v>Rahul Verma</v>
      </c>
      <c r="O417" s="1" t="str">
        <f>IFERROR(INDEX(Agents!$D$2:$D$26,MATCH(C417,Agents!$A$2:$A$26,0)),"")</f>
        <v>Escalations</v>
      </c>
      <c r="P417" s="1" t="str">
        <f>IFERROR(VLOOKUP(C417,Agents!$A$2:$E$26,3,FALSE),"")</f>
        <v>Pallavi Rao</v>
      </c>
      <c r="Q417" s="1" t="str">
        <f>IFERROR(VLOOKUP(C417,Agents!$A$2:$E$26,5,FALSE),"")</f>
        <v>Hyderabad</v>
      </c>
      <c r="R417" s="1">
        <f>IFERROR(VLOOKUP(F417,#REF!,2,FALSE),0)</f>
        <v>0</v>
      </c>
      <c r="S417" s="1" t="str">
        <f t="shared" si="36"/>
        <v>Breached</v>
      </c>
      <c r="T417" s="1" t="str">
        <f t="shared" si="37"/>
        <v>Within Target</v>
      </c>
      <c r="U417" s="1" t="str">
        <f t="shared" si="38"/>
        <v>2025-10</v>
      </c>
      <c r="V417" s="1" t="str">
        <f t="shared" si="39"/>
        <v>Good</v>
      </c>
      <c r="W417" s="1" t="str">
        <f t="shared" si="40"/>
        <v>Pass</v>
      </c>
      <c r="X417" s="1" t="str">
        <f t="shared" si="41"/>
        <v>Unique</v>
      </c>
    </row>
    <row r="418" spans="1:24" ht="15" customHeight="1">
      <c r="A418" s="1" t="str">
        <f>'Raw Tickets'!$A$418</f>
        <v>T00417</v>
      </c>
      <c r="B418" s="4">
        <f>'Raw Tickets'!$B$418</f>
        <v>45845</v>
      </c>
      <c r="C418" s="1" t="str">
        <f>'Raw Tickets'!$C$418</f>
        <v>A025</v>
      </c>
      <c r="D418" s="1" t="str">
        <f>'Raw Tickets'!$D$418</f>
        <v>Email</v>
      </c>
      <c r="E418" s="1" t="str">
        <f>'Raw Tickets'!$E$418</f>
        <v>Order Cancellation</v>
      </c>
      <c r="F418" s="1" t="str">
        <f>'Raw Tickets'!$F$418</f>
        <v>Low</v>
      </c>
      <c r="G418" s="1">
        <f>'Raw Tickets'!$G$418</f>
        <v>26.8</v>
      </c>
      <c r="H418" s="1">
        <f>'Raw Tickets'!$H$418</f>
        <v>49</v>
      </c>
      <c r="I418" s="1">
        <f>'Raw Tickets'!$I$418</f>
        <v>5</v>
      </c>
      <c r="J418" s="6">
        <f>'Raw Tickets'!$J$418</f>
        <v>94.2</v>
      </c>
      <c r="K418" s="1" t="str">
        <f>'Raw Tickets'!$K$418</f>
        <v>Closed</v>
      </c>
      <c r="L418" s="1" t="str">
        <f>'Raw Tickets'!$L$418</f>
        <v>No</v>
      </c>
      <c r="M418" s="1" t="str">
        <f>'Raw Tickets'!$M$418</f>
        <v>No</v>
      </c>
      <c r="N418" s="1" t="str">
        <f>IFERROR(VLOOKUP(C418,Agents!$A$2:$E$26,2,FALSE),"")</f>
        <v>Arjun Nair</v>
      </c>
      <c r="O418" s="1" t="str">
        <f>IFERROR(INDEX(Agents!$D$2:$D$26,MATCH(C418,Agents!$A$2:$A$26,0)),"")</f>
        <v>Seller Support</v>
      </c>
      <c r="P418" s="1" t="str">
        <f>IFERROR(VLOOKUP(C418,Agents!$A$2:$E$26,3,FALSE),"")</f>
        <v>Vivek Jain</v>
      </c>
      <c r="Q418" s="1" t="str">
        <f>IFERROR(VLOOKUP(C418,Agents!$A$2:$E$26,5,FALSE),"")</f>
        <v>Noida</v>
      </c>
      <c r="R418" s="1">
        <f>IFERROR(VLOOKUP(F418,#REF!,2,FALSE),0)</f>
        <v>0</v>
      </c>
      <c r="S418" s="1" t="str">
        <f t="shared" si="36"/>
        <v>Breached</v>
      </c>
      <c r="T418" s="1" t="str">
        <f t="shared" si="37"/>
        <v>Late</v>
      </c>
      <c r="U418" s="1" t="str">
        <f t="shared" si="38"/>
        <v>2025-07</v>
      </c>
      <c r="V418" s="1" t="str">
        <f t="shared" si="39"/>
        <v>Good</v>
      </c>
      <c r="W418" s="1" t="str">
        <f t="shared" si="40"/>
        <v>Pass</v>
      </c>
      <c r="X418" s="1" t="str">
        <f t="shared" si="41"/>
        <v>Unique</v>
      </c>
    </row>
    <row r="419" spans="1:24" ht="15" customHeight="1">
      <c r="A419" s="1" t="str">
        <f>'Raw Tickets'!$A$419</f>
        <v>T00418</v>
      </c>
      <c r="B419" s="4">
        <f>'Raw Tickets'!$B$419</f>
        <v>46002</v>
      </c>
      <c r="C419" s="1" t="str">
        <f>'Raw Tickets'!$C$419</f>
        <v>A001</v>
      </c>
      <c r="D419" s="1" t="str">
        <f>'Raw Tickets'!$D$419</f>
        <v>Call</v>
      </c>
      <c r="E419" s="1" t="str">
        <f>'Raw Tickets'!$E$419</f>
        <v>Delivery Delay</v>
      </c>
      <c r="F419" s="1" t="str">
        <f>'Raw Tickets'!$F$419</f>
        <v>High</v>
      </c>
      <c r="G419" s="1">
        <f>'Raw Tickets'!$G$419</f>
        <v>20.3</v>
      </c>
      <c r="H419" s="1">
        <f>'Raw Tickets'!$H$419</f>
        <v>15</v>
      </c>
      <c r="I419" s="1">
        <f>'Raw Tickets'!$I$419</f>
        <v>3</v>
      </c>
      <c r="J419" s="6">
        <f>'Raw Tickets'!$J$419</f>
        <v>78.099999999999994</v>
      </c>
      <c r="K419" s="1" t="str">
        <f>'Raw Tickets'!$K$419</f>
        <v>Closed</v>
      </c>
      <c r="L419" s="1" t="str">
        <f>'Raw Tickets'!$L$419</f>
        <v>No</v>
      </c>
      <c r="M419" s="1" t="str">
        <f>'Raw Tickets'!$M$419</f>
        <v>No</v>
      </c>
      <c r="N419" s="1" t="str">
        <f>IFERROR(VLOOKUP(C419,Agents!$A$2:$E$26,2,FALSE),"")</f>
        <v>Ishita Patel</v>
      </c>
      <c r="O419" s="1" t="str">
        <f>IFERROR(INDEX(Agents!$D$2:$D$26,MATCH(C419,Agents!$A$2:$A$26,0)),"")</f>
        <v>Email Support</v>
      </c>
      <c r="P419" s="1" t="str">
        <f>IFERROR(VLOOKUP(C419,Agents!$A$2:$E$26,3,FALSE),"")</f>
        <v>Aman Verma</v>
      </c>
      <c r="Q419" s="1" t="str">
        <f>IFERROR(VLOOKUP(C419,Agents!$A$2:$E$26,5,FALSE),"")</f>
        <v>Gurugram</v>
      </c>
      <c r="R419" s="1">
        <f>IFERROR(VLOOKUP(F419,#REF!,2,FALSE),0)</f>
        <v>0</v>
      </c>
      <c r="S419" s="1" t="str">
        <f t="shared" si="36"/>
        <v>Breached</v>
      </c>
      <c r="T419" s="1" t="str">
        <f t="shared" si="37"/>
        <v>Within Target</v>
      </c>
      <c r="U419" s="1" t="str">
        <f t="shared" si="38"/>
        <v>2025-12</v>
      </c>
      <c r="V419" s="1" t="str">
        <f t="shared" si="39"/>
        <v>Average</v>
      </c>
      <c r="W419" s="1" t="str">
        <f t="shared" si="40"/>
        <v>Needs Coaching</v>
      </c>
      <c r="X419" s="1" t="str">
        <f t="shared" si="41"/>
        <v>Unique</v>
      </c>
    </row>
    <row r="420" spans="1:24" ht="15" customHeight="1">
      <c r="A420" s="1" t="str">
        <f>'Raw Tickets'!$A$420</f>
        <v>T00419</v>
      </c>
      <c r="B420" s="4">
        <f>'Raw Tickets'!$B$420</f>
        <v>45689</v>
      </c>
      <c r="C420" s="1" t="str">
        <f>'Raw Tickets'!$C$420</f>
        <v>A004</v>
      </c>
      <c r="D420" s="1" t="str">
        <f>'Raw Tickets'!$D$420</f>
        <v>Email</v>
      </c>
      <c r="E420" s="1" t="str">
        <f>'Raw Tickets'!$E$420</f>
        <v>Product Quality</v>
      </c>
      <c r="F420" s="1" t="str">
        <f>'Raw Tickets'!$F$420</f>
        <v>Medium</v>
      </c>
      <c r="G420" s="1">
        <f>'Raw Tickets'!$G$420</f>
        <v>20.100000000000001</v>
      </c>
      <c r="H420" s="1">
        <f>'Raw Tickets'!$H$420</f>
        <v>6</v>
      </c>
      <c r="I420" s="1">
        <f>'Raw Tickets'!$I$420</f>
        <v>5</v>
      </c>
      <c r="J420" s="6">
        <f>'Raw Tickets'!$J$420</f>
        <v>76.099999999999994</v>
      </c>
      <c r="K420" s="1" t="str">
        <f>'Raw Tickets'!$K$420</f>
        <v>Closed</v>
      </c>
      <c r="L420" s="1" t="str">
        <f>'Raw Tickets'!$L$420</f>
        <v>No</v>
      </c>
      <c r="M420" s="1" t="str">
        <f>'Raw Tickets'!$M$420</f>
        <v>Yes</v>
      </c>
      <c r="N420" s="1" t="str">
        <f>IFERROR(VLOOKUP(C420,Agents!$A$2:$E$26,2,FALSE),"")</f>
        <v>Arjun Agarwal</v>
      </c>
      <c r="O420" s="1" t="str">
        <f>IFERROR(INDEX(Agents!$D$2:$D$26,MATCH(C420,Agents!$A$2:$A$26,0)),"")</f>
        <v>Email Support</v>
      </c>
      <c r="P420" s="1" t="str">
        <f>IFERROR(VLOOKUP(C420,Agents!$A$2:$E$26,3,FALSE),"")</f>
        <v>Aman Verma</v>
      </c>
      <c r="Q420" s="1" t="str">
        <f>IFERROR(VLOOKUP(C420,Agents!$A$2:$E$26,5,FALSE),"")</f>
        <v>Bengaluru</v>
      </c>
      <c r="R420" s="1">
        <f>IFERROR(VLOOKUP(F420,#REF!,2,FALSE),0)</f>
        <v>0</v>
      </c>
      <c r="S420" s="1" t="str">
        <f t="shared" si="36"/>
        <v>Breached</v>
      </c>
      <c r="T420" s="1" t="str">
        <f t="shared" si="37"/>
        <v>Within Target</v>
      </c>
      <c r="U420" s="1" t="str">
        <f t="shared" si="38"/>
        <v>2025-02</v>
      </c>
      <c r="V420" s="1" t="str">
        <f t="shared" si="39"/>
        <v>Good</v>
      </c>
      <c r="W420" s="1" t="str">
        <f t="shared" si="40"/>
        <v>Needs Coaching</v>
      </c>
      <c r="X420" s="1" t="str">
        <f t="shared" si="41"/>
        <v>Unique</v>
      </c>
    </row>
    <row r="421" spans="1:24" ht="15" customHeight="1">
      <c r="A421" s="1" t="str">
        <f>'Raw Tickets'!$A$421</f>
        <v>T00420</v>
      </c>
      <c r="B421" s="4">
        <f>'Raw Tickets'!$B$421</f>
        <v>45766</v>
      </c>
      <c r="C421" s="1" t="str">
        <f>'Raw Tickets'!$C$421</f>
        <v>A019</v>
      </c>
      <c r="D421" s="1" t="str">
        <f>'Raw Tickets'!$D$421</f>
        <v>Email</v>
      </c>
      <c r="E421" s="1" t="str">
        <f>'Raw Tickets'!$E$421</f>
        <v>Order Cancellation</v>
      </c>
      <c r="F421" s="1" t="str">
        <f>'Raw Tickets'!$F$421</f>
        <v>Medium</v>
      </c>
      <c r="G421" s="1">
        <f>'Raw Tickets'!$G$421</f>
        <v>37.200000000000003</v>
      </c>
      <c r="H421" s="1">
        <f>'Raw Tickets'!$H$421</f>
        <v>53</v>
      </c>
      <c r="I421" s="1">
        <f>'Raw Tickets'!$I$421</f>
        <v>1</v>
      </c>
      <c r="J421" s="6">
        <f>'Raw Tickets'!$J$421</f>
        <v>85.9</v>
      </c>
      <c r="K421" s="1" t="str">
        <f>'Raw Tickets'!$K$421</f>
        <v>Closed</v>
      </c>
      <c r="L421" s="1" t="str">
        <f>'Raw Tickets'!$L$421</f>
        <v>No</v>
      </c>
      <c r="M421" s="1" t="str">
        <f>'Raw Tickets'!$M$421</f>
        <v>No</v>
      </c>
      <c r="N421" s="1" t="str">
        <f>IFERROR(VLOOKUP(C421,Agents!$A$2:$E$26,2,FALSE),"")</f>
        <v>Sneha Joshi</v>
      </c>
      <c r="O421" s="1" t="str">
        <f>IFERROR(INDEX(Agents!$D$2:$D$26,MATCH(C421,Agents!$A$2:$A$26,0)),"")</f>
        <v>Escalations</v>
      </c>
      <c r="P421" s="1" t="str">
        <f>IFERROR(VLOOKUP(C421,Agents!$A$2:$E$26,3,FALSE),"")</f>
        <v>Pallavi Rao</v>
      </c>
      <c r="Q421" s="1" t="str">
        <f>IFERROR(VLOOKUP(C421,Agents!$A$2:$E$26,5,FALSE),"")</f>
        <v>Hyderabad</v>
      </c>
      <c r="R421" s="1">
        <f>IFERROR(VLOOKUP(F421,#REF!,2,FALSE),0)</f>
        <v>0</v>
      </c>
      <c r="S421" s="1" t="str">
        <f t="shared" si="36"/>
        <v>Breached</v>
      </c>
      <c r="T421" s="1" t="str">
        <f t="shared" si="37"/>
        <v>Late</v>
      </c>
      <c r="U421" s="1" t="str">
        <f t="shared" si="38"/>
        <v>2025-04</v>
      </c>
      <c r="V421" s="1" t="str">
        <f t="shared" si="39"/>
        <v>Poor</v>
      </c>
      <c r="W421" s="1" t="str">
        <f t="shared" si="40"/>
        <v>Pass</v>
      </c>
      <c r="X421" s="1" t="str">
        <f t="shared" si="41"/>
        <v>Unique</v>
      </c>
    </row>
    <row r="422" spans="1:24" ht="15" customHeight="1">
      <c r="A422" s="1" t="str">
        <f>'Raw Tickets'!$A$422</f>
        <v>T00421</v>
      </c>
      <c r="B422" s="4">
        <f>'Raw Tickets'!$B$422</f>
        <v>45990</v>
      </c>
      <c r="C422" s="1" t="str">
        <f>'Raw Tickets'!$C$422</f>
        <v>A011</v>
      </c>
      <c r="D422" s="1" t="str">
        <f>'Raw Tickets'!$D$422</f>
        <v>Chat</v>
      </c>
      <c r="E422" s="1" t="str">
        <f>'Raw Tickets'!$E$422</f>
        <v>Refund</v>
      </c>
      <c r="F422" s="1" t="str">
        <f>'Raw Tickets'!$F$422</f>
        <v>High</v>
      </c>
      <c r="G422" s="1">
        <f>'Raw Tickets'!$G$422</f>
        <v>13.2</v>
      </c>
      <c r="H422" s="1">
        <f>'Raw Tickets'!$H$422</f>
        <v>28</v>
      </c>
      <c r="I422" s="1">
        <f>'Raw Tickets'!$I$422</f>
        <v>5</v>
      </c>
      <c r="J422" s="6">
        <f>'Raw Tickets'!$J$422</f>
        <v>80.900000000000006</v>
      </c>
      <c r="K422" s="1" t="str">
        <f>'Raw Tickets'!$K$422</f>
        <v>Closed</v>
      </c>
      <c r="L422" s="1" t="str">
        <f>'Raw Tickets'!$L$422</f>
        <v>No</v>
      </c>
      <c r="M422" s="1" t="str">
        <f>'Raw Tickets'!$M$422</f>
        <v>No</v>
      </c>
      <c r="N422" s="1" t="str">
        <f>IFERROR(VLOOKUP(C422,Agents!$A$2:$E$26,2,FALSE),"")</f>
        <v>Shreya Singh</v>
      </c>
      <c r="O422" s="1" t="str">
        <f>IFERROR(INDEX(Agents!$D$2:$D$26,MATCH(C422,Agents!$A$2:$A$26,0)),"")</f>
        <v>Chat Support</v>
      </c>
      <c r="P422" s="1" t="str">
        <f>IFERROR(VLOOKUP(C422,Agents!$A$2:$E$26,3,FALSE),"")</f>
        <v>Nitin Gupta</v>
      </c>
      <c r="Q422" s="1" t="str">
        <f>IFERROR(VLOOKUP(C422,Agents!$A$2:$E$26,5,FALSE),"")</f>
        <v>Noida</v>
      </c>
      <c r="R422" s="1">
        <f>IFERROR(VLOOKUP(F422,#REF!,2,FALSE),0)</f>
        <v>0</v>
      </c>
      <c r="S422" s="1" t="str">
        <f t="shared" si="36"/>
        <v>Breached</v>
      </c>
      <c r="T422" s="1" t="str">
        <f t="shared" si="37"/>
        <v>Within Target</v>
      </c>
      <c r="U422" s="1" t="str">
        <f t="shared" si="38"/>
        <v>2025-11</v>
      </c>
      <c r="V422" s="1" t="str">
        <f t="shared" si="39"/>
        <v>Good</v>
      </c>
      <c r="W422" s="1" t="str">
        <f t="shared" si="40"/>
        <v>Needs Coaching</v>
      </c>
      <c r="X422" s="1" t="str">
        <f t="shared" si="41"/>
        <v>Unique</v>
      </c>
    </row>
    <row r="423" spans="1:24" ht="15" customHeight="1">
      <c r="A423" s="1" t="str">
        <f>'Raw Tickets'!$A$423</f>
        <v>T00422</v>
      </c>
      <c r="B423" s="4">
        <f>'Raw Tickets'!$B$423</f>
        <v>45883</v>
      </c>
      <c r="C423" s="1" t="str">
        <f>'Raw Tickets'!$C$423</f>
        <v>A006</v>
      </c>
      <c r="D423" s="1" t="str">
        <f>'Raw Tickets'!$D$423</f>
        <v>Chat</v>
      </c>
      <c r="E423" s="1" t="str">
        <f>'Raw Tickets'!$E$423</f>
        <v>Delivery Delay</v>
      </c>
      <c r="F423" s="1" t="str">
        <f>'Raw Tickets'!$F$423</f>
        <v>Critical</v>
      </c>
      <c r="G423" s="1">
        <f>'Raw Tickets'!$G$423</f>
        <v>2.1</v>
      </c>
      <c r="H423" s="1">
        <f>'Raw Tickets'!$H$423</f>
        <v>17</v>
      </c>
      <c r="I423" s="1">
        <f>'Raw Tickets'!$I$423</f>
        <v>4</v>
      </c>
      <c r="J423" s="6">
        <f>'Raw Tickets'!$J$423</f>
        <v>89.6</v>
      </c>
      <c r="K423" s="1" t="str">
        <f>'Raw Tickets'!$K$423</f>
        <v>Open</v>
      </c>
      <c r="L423" s="1" t="str">
        <f>'Raw Tickets'!$L$423</f>
        <v>No</v>
      </c>
      <c r="M423" s="1" t="str">
        <f>'Raw Tickets'!$M$423</f>
        <v>No</v>
      </c>
      <c r="N423" s="1" t="str">
        <f>IFERROR(VLOOKUP(C423,Agents!$A$2:$E$26,2,FALSE),"")</f>
        <v>Divya Shah</v>
      </c>
      <c r="O423" s="1" t="str">
        <f>IFERROR(INDEX(Agents!$D$2:$D$26,MATCH(C423,Agents!$A$2:$A$26,0)),"")</f>
        <v>Voice Support</v>
      </c>
      <c r="P423" s="1" t="str">
        <f>IFERROR(VLOOKUP(C423,Agents!$A$2:$E$26,3,FALSE),"")</f>
        <v>Kritika Shah</v>
      </c>
      <c r="Q423" s="1" t="str">
        <f>IFERROR(VLOOKUP(C423,Agents!$A$2:$E$26,5,FALSE),"")</f>
        <v>Gurugram</v>
      </c>
      <c r="R423" s="1">
        <f>IFERROR(VLOOKUP(F423,#REF!,2,FALSE),0)</f>
        <v>0</v>
      </c>
      <c r="S423" s="1" t="str">
        <f t="shared" si="36"/>
        <v>Breached</v>
      </c>
      <c r="T423" s="1" t="str">
        <f t="shared" si="37"/>
        <v>Within Target</v>
      </c>
      <c r="U423" s="1" t="str">
        <f t="shared" si="38"/>
        <v>2025-08</v>
      </c>
      <c r="V423" s="1" t="str">
        <f t="shared" si="39"/>
        <v>Good</v>
      </c>
      <c r="W423" s="1" t="str">
        <f t="shared" si="40"/>
        <v>Pass</v>
      </c>
      <c r="X423" s="1" t="str">
        <f t="shared" si="41"/>
        <v>Unique</v>
      </c>
    </row>
    <row r="424" spans="1:24" ht="15" customHeight="1">
      <c r="A424" s="1" t="str">
        <f>'Raw Tickets'!$A$424</f>
        <v>T00423</v>
      </c>
      <c r="B424" s="4">
        <f>'Raw Tickets'!$B$424</f>
        <v>46012</v>
      </c>
      <c r="C424" s="1" t="str">
        <f>'Raw Tickets'!$C$424</f>
        <v>A004</v>
      </c>
      <c r="D424" s="1" t="str">
        <f>'Raw Tickets'!$D$424</f>
        <v>Email</v>
      </c>
      <c r="E424" s="1" t="str">
        <f>'Raw Tickets'!$E$424</f>
        <v>Product Quality</v>
      </c>
      <c r="F424" s="1" t="str">
        <f>'Raw Tickets'!$F$424</f>
        <v>Low</v>
      </c>
      <c r="G424" s="1">
        <f>'Raw Tickets'!$G$424</f>
        <v>46.5</v>
      </c>
      <c r="H424" s="1">
        <f>'Raw Tickets'!$H$424</f>
        <v>46</v>
      </c>
      <c r="I424" s="1">
        <f>'Raw Tickets'!$I$424</f>
        <v>4</v>
      </c>
      <c r="J424" s="6">
        <f>'Raw Tickets'!$J$424</f>
        <v>75.099999999999994</v>
      </c>
      <c r="K424" s="1" t="str">
        <f>'Raw Tickets'!$K$424</f>
        <v>Closed</v>
      </c>
      <c r="L424" s="1" t="str">
        <f>'Raw Tickets'!$L$424</f>
        <v>No</v>
      </c>
      <c r="M424" s="1" t="str">
        <f>'Raw Tickets'!$M$424</f>
        <v>No</v>
      </c>
      <c r="N424" s="1" t="str">
        <f>IFERROR(VLOOKUP(C424,Agents!$A$2:$E$26,2,FALSE),"")</f>
        <v>Arjun Agarwal</v>
      </c>
      <c r="O424" s="1" t="str">
        <f>IFERROR(INDEX(Agents!$D$2:$D$26,MATCH(C424,Agents!$A$2:$A$26,0)),"")</f>
        <v>Email Support</v>
      </c>
      <c r="P424" s="1" t="str">
        <f>IFERROR(VLOOKUP(C424,Agents!$A$2:$E$26,3,FALSE),"")</f>
        <v>Aman Verma</v>
      </c>
      <c r="Q424" s="1" t="str">
        <f>IFERROR(VLOOKUP(C424,Agents!$A$2:$E$26,5,FALSE),"")</f>
        <v>Bengaluru</v>
      </c>
      <c r="R424" s="1">
        <f>IFERROR(VLOOKUP(F424,#REF!,2,FALSE),0)</f>
        <v>0</v>
      </c>
      <c r="S424" s="1" t="str">
        <f t="shared" si="36"/>
        <v>Breached</v>
      </c>
      <c r="T424" s="1" t="str">
        <f t="shared" si="37"/>
        <v>Late</v>
      </c>
      <c r="U424" s="1" t="str">
        <f t="shared" si="38"/>
        <v>2025-12</v>
      </c>
      <c r="V424" s="1" t="str">
        <f t="shared" si="39"/>
        <v>Good</v>
      </c>
      <c r="W424" s="1" t="str">
        <f t="shared" si="40"/>
        <v>Needs Coaching</v>
      </c>
      <c r="X424" s="1" t="str">
        <f t="shared" si="41"/>
        <v>Unique</v>
      </c>
    </row>
    <row r="425" spans="1:24" ht="15" customHeight="1">
      <c r="A425" s="1" t="str">
        <f>'Raw Tickets'!$A$425</f>
        <v>T00424</v>
      </c>
      <c r="B425" s="4">
        <f>'Raw Tickets'!$B$425</f>
        <v>45921</v>
      </c>
      <c r="C425" s="1" t="str">
        <f>'Raw Tickets'!$C$425</f>
        <v>A014</v>
      </c>
      <c r="D425" s="1" t="str">
        <f>'Raw Tickets'!$D$425</f>
        <v>Chat</v>
      </c>
      <c r="E425" s="1" t="str">
        <f>'Raw Tickets'!$E$425</f>
        <v>Refund</v>
      </c>
      <c r="F425" s="1" t="str">
        <f>'Raw Tickets'!$F$425</f>
        <v>Medium</v>
      </c>
      <c r="G425" s="1">
        <f>'Raw Tickets'!$G$425</f>
        <v>30.6</v>
      </c>
      <c r="H425" s="1">
        <f>'Raw Tickets'!$H$425</f>
        <v>51</v>
      </c>
      <c r="I425" s="1">
        <f>'Raw Tickets'!$I$425</f>
        <v>4</v>
      </c>
      <c r="J425" s="6">
        <f>'Raw Tickets'!$J$425</f>
        <v>79.400000000000006</v>
      </c>
      <c r="K425" s="1" t="str">
        <f>'Raw Tickets'!$K$425</f>
        <v>Closed</v>
      </c>
      <c r="L425" s="1" t="str">
        <f>'Raw Tickets'!$L$425</f>
        <v>No</v>
      </c>
      <c r="M425" s="1" t="str">
        <f>'Raw Tickets'!$M$425</f>
        <v>No</v>
      </c>
      <c r="N425" s="1" t="str">
        <f>IFERROR(VLOOKUP(C425,Agents!$A$2:$E$26,2,FALSE),"")</f>
        <v>Ananya Jain</v>
      </c>
      <c r="O425" s="1" t="str">
        <f>IFERROR(INDEX(Agents!$D$2:$D$26,MATCH(C425,Agents!$A$2:$A$26,0)),"")</f>
        <v>Chat Support</v>
      </c>
      <c r="P425" s="1" t="str">
        <f>IFERROR(VLOOKUP(C425,Agents!$A$2:$E$26,3,FALSE),"")</f>
        <v>Nitin Gupta</v>
      </c>
      <c r="Q425" s="1" t="str">
        <f>IFERROR(VLOOKUP(C425,Agents!$A$2:$E$26,5,FALSE),"")</f>
        <v>Bengaluru</v>
      </c>
      <c r="R425" s="1">
        <f>IFERROR(VLOOKUP(F425,#REF!,2,FALSE),0)</f>
        <v>0</v>
      </c>
      <c r="S425" s="1" t="str">
        <f t="shared" si="36"/>
        <v>Breached</v>
      </c>
      <c r="T425" s="1" t="str">
        <f t="shared" si="37"/>
        <v>Late</v>
      </c>
      <c r="U425" s="1" t="str">
        <f t="shared" si="38"/>
        <v>2025-09</v>
      </c>
      <c r="V425" s="1" t="str">
        <f t="shared" si="39"/>
        <v>Good</v>
      </c>
      <c r="W425" s="1" t="str">
        <f t="shared" si="40"/>
        <v>Needs Coaching</v>
      </c>
      <c r="X425" s="1" t="str">
        <f t="shared" si="41"/>
        <v>Unique</v>
      </c>
    </row>
    <row r="426" spans="1:24" ht="15" customHeight="1">
      <c r="A426" s="1" t="str">
        <f>'Raw Tickets'!$A$426</f>
        <v>T00425</v>
      </c>
      <c r="B426" s="4">
        <f>'Raw Tickets'!$B$426</f>
        <v>45870</v>
      </c>
      <c r="C426" s="1" t="str">
        <f>'Raw Tickets'!$C$426</f>
        <v>A012</v>
      </c>
      <c r="D426" s="1" t="str">
        <f>'Raw Tickets'!$D$426</f>
        <v>Email</v>
      </c>
      <c r="E426" s="1" t="str">
        <f>'Raw Tickets'!$E$426</f>
        <v>Payment Failure</v>
      </c>
      <c r="F426" s="1" t="str">
        <f>'Raw Tickets'!$F$426</f>
        <v>Low</v>
      </c>
      <c r="G426" s="1">
        <f>'Raw Tickets'!$G$426</f>
        <v>2.6</v>
      </c>
      <c r="H426" s="1">
        <f>'Raw Tickets'!$H$426</f>
        <v>52</v>
      </c>
      <c r="I426" s="1">
        <f>'Raw Tickets'!$I$426</f>
        <v>4</v>
      </c>
      <c r="J426" s="6">
        <f>'Raw Tickets'!$J$426</f>
        <v>92.7</v>
      </c>
      <c r="K426" s="1" t="str">
        <f>'Raw Tickets'!$K$426</f>
        <v>Closed</v>
      </c>
      <c r="L426" s="1" t="str">
        <f>'Raw Tickets'!$L$426</f>
        <v>No</v>
      </c>
      <c r="M426" s="1" t="str">
        <f>'Raw Tickets'!$M$426</f>
        <v>No</v>
      </c>
      <c r="N426" s="1" t="str">
        <f>IFERROR(VLOOKUP(C426,Agents!$A$2:$E$26,2,FALSE),"")</f>
        <v>Ankit Khan</v>
      </c>
      <c r="O426" s="1" t="str">
        <f>IFERROR(INDEX(Agents!$D$2:$D$26,MATCH(C426,Agents!$A$2:$A$26,0)),"")</f>
        <v>Chat Support</v>
      </c>
      <c r="P426" s="1" t="str">
        <f>IFERROR(VLOOKUP(C426,Agents!$A$2:$E$26,3,FALSE),"")</f>
        <v>Nitin Gupta</v>
      </c>
      <c r="Q426" s="1" t="str">
        <f>IFERROR(VLOOKUP(C426,Agents!$A$2:$E$26,5,FALSE),"")</f>
        <v>Bengaluru</v>
      </c>
      <c r="R426" s="1">
        <f>IFERROR(VLOOKUP(F426,#REF!,2,FALSE),0)</f>
        <v>0</v>
      </c>
      <c r="S426" s="1" t="str">
        <f t="shared" si="36"/>
        <v>Breached</v>
      </c>
      <c r="T426" s="1" t="str">
        <f t="shared" si="37"/>
        <v>Late</v>
      </c>
      <c r="U426" s="1" t="str">
        <f t="shared" si="38"/>
        <v>2025-08</v>
      </c>
      <c r="V426" s="1" t="str">
        <f t="shared" si="39"/>
        <v>Good</v>
      </c>
      <c r="W426" s="1" t="str">
        <f t="shared" si="40"/>
        <v>Pass</v>
      </c>
      <c r="X426" s="1" t="str">
        <f t="shared" si="41"/>
        <v>Unique</v>
      </c>
    </row>
    <row r="427" spans="1:24" ht="15" customHeight="1">
      <c r="A427" s="1" t="str">
        <f>'Raw Tickets'!$A$427</f>
        <v>T00426</v>
      </c>
      <c r="B427" s="4">
        <f>'Raw Tickets'!$B$427</f>
        <v>45891</v>
      </c>
      <c r="C427" s="1" t="str">
        <f>'Raw Tickets'!$C$427</f>
        <v>A022</v>
      </c>
      <c r="D427" s="1" t="str">
        <f>'Raw Tickets'!$D$427</f>
        <v>Email</v>
      </c>
      <c r="E427" s="1" t="str">
        <f>'Raw Tickets'!$E$427</f>
        <v>Product Quality</v>
      </c>
      <c r="F427" s="1" t="str">
        <f>'Raw Tickets'!$F$427</f>
        <v>Low</v>
      </c>
      <c r="G427" s="1">
        <f>'Raw Tickets'!$G$427</f>
        <v>13.3</v>
      </c>
      <c r="H427" s="1">
        <f>'Raw Tickets'!$H$427</f>
        <v>50</v>
      </c>
      <c r="I427" s="1">
        <f>'Raw Tickets'!$I$427</f>
        <v>4</v>
      </c>
      <c r="J427" s="6">
        <f>'Raw Tickets'!$J$427</f>
        <v>84.6</v>
      </c>
      <c r="K427" s="1" t="str">
        <f>'Raw Tickets'!$K$427</f>
        <v>Closed</v>
      </c>
      <c r="L427" s="1" t="str">
        <f>'Raw Tickets'!$L$427</f>
        <v>No</v>
      </c>
      <c r="M427" s="1" t="str">
        <f>'Raw Tickets'!$M$427</f>
        <v>No</v>
      </c>
      <c r="N427" s="1" t="str">
        <f>IFERROR(VLOOKUP(C427,Agents!$A$2:$E$26,2,FALSE),"")</f>
        <v>Varun Sharma</v>
      </c>
      <c r="O427" s="1" t="str">
        <f>IFERROR(INDEX(Agents!$D$2:$D$26,MATCH(C427,Agents!$A$2:$A$26,0)),"")</f>
        <v>Seller Support</v>
      </c>
      <c r="P427" s="1" t="str">
        <f>IFERROR(VLOOKUP(C427,Agents!$A$2:$E$26,3,FALSE),"")</f>
        <v>Vivek Jain</v>
      </c>
      <c r="Q427" s="1" t="str">
        <f>IFERROR(VLOOKUP(C427,Agents!$A$2:$E$26,5,FALSE),"")</f>
        <v>Noida</v>
      </c>
      <c r="R427" s="1">
        <f>IFERROR(VLOOKUP(F427,#REF!,2,FALSE),0)</f>
        <v>0</v>
      </c>
      <c r="S427" s="1" t="str">
        <f t="shared" si="36"/>
        <v>Breached</v>
      </c>
      <c r="T427" s="1" t="str">
        <f t="shared" si="37"/>
        <v>Late</v>
      </c>
      <c r="U427" s="1" t="str">
        <f t="shared" si="38"/>
        <v>2025-08</v>
      </c>
      <c r="V427" s="1" t="str">
        <f t="shared" si="39"/>
        <v>Good</v>
      </c>
      <c r="W427" s="1" t="str">
        <f t="shared" si="40"/>
        <v>Needs Coaching</v>
      </c>
      <c r="X427" s="1" t="str">
        <f t="shared" si="41"/>
        <v>Unique</v>
      </c>
    </row>
    <row r="428" spans="1:24" ht="15" customHeight="1">
      <c r="A428" s="1" t="str">
        <f>'Raw Tickets'!$A$428</f>
        <v>T00427</v>
      </c>
      <c r="B428" s="4">
        <f>'Raw Tickets'!$B$428</f>
        <v>45773</v>
      </c>
      <c r="C428" s="1" t="str">
        <f>'Raw Tickets'!$C$428</f>
        <v>A008</v>
      </c>
      <c r="D428" s="1" t="str">
        <f>'Raw Tickets'!$D$428</f>
        <v>Email</v>
      </c>
      <c r="E428" s="1" t="str">
        <f>'Raw Tickets'!$E$428</f>
        <v>Delivery Delay</v>
      </c>
      <c r="F428" s="1" t="str">
        <f>'Raw Tickets'!$F$428</f>
        <v>Low</v>
      </c>
      <c r="G428" s="1">
        <f>'Raw Tickets'!$G$428</f>
        <v>26.8</v>
      </c>
      <c r="H428" s="1">
        <f>'Raw Tickets'!$H$428</f>
        <v>29</v>
      </c>
      <c r="I428" s="1">
        <f>'Raw Tickets'!$I$428</f>
        <v>4</v>
      </c>
      <c r="J428" s="6">
        <f>'Raw Tickets'!$J$428</f>
        <v>90</v>
      </c>
      <c r="K428" s="1" t="str">
        <f>'Raw Tickets'!$K$428</f>
        <v>Closed</v>
      </c>
      <c r="L428" s="1" t="str">
        <f>'Raw Tickets'!$L$428</f>
        <v>No</v>
      </c>
      <c r="M428" s="1" t="str">
        <f>'Raw Tickets'!$M$428</f>
        <v>No</v>
      </c>
      <c r="N428" s="1" t="str">
        <f>IFERROR(VLOOKUP(C428,Agents!$A$2:$E$26,2,FALSE),"")</f>
        <v>Ananya Mishra</v>
      </c>
      <c r="O428" s="1" t="str">
        <f>IFERROR(INDEX(Agents!$D$2:$D$26,MATCH(C428,Agents!$A$2:$A$26,0)),"")</f>
        <v>Voice Support</v>
      </c>
      <c r="P428" s="1" t="str">
        <f>IFERROR(VLOOKUP(C428,Agents!$A$2:$E$26,3,FALSE),"")</f>
        <v>Kritika Shah</v>
      </c>
      <c r="Q428" s="1" t="str">
        <f>IFERROR(VLOOKUP(C428,Agents!$A$2:$E$26,5,FALSE),"")</f>
        <v>Hyderabad</v>
      </c>
      <c r="R428" s="1">
        <f>IFERROR(VLOOKUP(F428,#REF!,2,FALSE),0)</f>
        <v>0</v>
      </c>
      <c r="S428" s="1" t="str">
        <f t="shared" si="36"/>
        <v>Breached</v>
      </c>
      <c r="T428" s="1" t="str">
        <f t="shared" si="37"/>
        <v>Within Target</v>
      </c>
      <c r="U428" s="1" t="str">
        <f t="shared" si="38"/>
        <v>2025-04</v>
      </c>
      <c r="V428" s="1" t="str">
        <f t="shared" si="39"/>
        <v>Good</v>
      </c>
      <c r="W428" s="1" t="str">
        <f t="shared" si="40"/>
        <v>Pass</v>
      </c>
      <c r="X428" s="1" t="str">
        <f t="shared" si="41"/>
        <v>Unique</v>
      </c>
    </row>
    <row r="429" spans="1:24" ht="15" customHeight="1">
      <c r="A429" s="1" t="str">
        <f>'Raw Tickets'!$A$429</f>
        <v>T00428</v>
      </c>
      <c r="B429" s="4">
        <f>'Raw Tickets'!$B$429</f>
        <v>45734</v>
      </c>
      <c r="C429" s="1" t="str">
        <f>'Raw Tickets'!$C$429</f>
        <v>A014</v>
      </c>
      <c r="D429" s="1" t="str">
        <f>'Raw Tickets'!$D$429</f>
        <v>Chat</v>
      </c>
      <c r="E429" s="1" t="str">
        <f>'Raw Tickets'!$E$429</f>
        <v>Order Cancellation</v>
      </c>
      <c r="F429" s="1" t="str">
        <f>'Raw Tickets'!$F$429</f>
        <v>Low</v>
      </c>
      <c r="G429" s="1">
        <f>'Raw Tickets'!$G$429</f>
        <v>55.3</v>
      </c>
      <c r="H429" s="1">
        <f>'Raw Tickets'!$H$429</f>
        <v>48</v>
      </c>
      <c r="I429" s="1">
        <f>'Raw Tickets'!$I$429</f>
        <v>4</v>
      </c>
      <c r="J429" s="6">
        <f>'Raw Tickets'!$J$429</f>
        <v>77.400000000000006</v>
      </c>
      <c r="K429" s="1" t="str">
        <f>'Raw Tickets'!$K$429</f>
        <v>Closed</v>
      </c>
      <c r="L429" s="1" t="str">
        <f>'Raw Tickets'!$L$429</f>
        <v>No</v>
      </c>
      <c r="M429" s="1" t="str">
        <f>'Raw Tickets'!$M$429</f>
        <v>No</v>
      </c>
      <c r="N429" s="1" t="str">
        <f>IFERROR(VLOOKUP(C429,Agents!$A$2:$E$26,2,FALSE),"")</f>
        <v>Ananya Jain</v>
      </c>
      <c r="O429" s="1" t="str">
        <f>IFERROR(INDEX(Agents!$D$2:$D$26,MATCH(C429,Agents!$A$2:$A$26,0)),"")</f>
        <v>Chat Support</v>
      </c>
      <c r="P429" s="1" t="str">
        <f>IFERROR(VLOOKUP(C429,Agents!$A$2:$E$26,3,FALSE),"")</f>
        <v>Nitin Gupta</v>
      </c>
      <c r="Q429" s="1" t="str">
        <f>IFERROR(VLOOKUP(C429,Agents!$A$2:$E$26,5,FALSE),"")</f>
        <v>Bengaluru</v>
      </c>
      <c r="R429" s="1">
        <f>IFERROR(VLOOKUP(F429,#REF!,2,FALSE),0)</f>
        <v>0</v>
      </c>
      <c r="S429" s="1" t="str">
        <f t="shared" si="36"/>
        <v>Breached</v>
      </c>
      <c r="T429" s="1" t="str">
        <f t="shared" si="37"/>
        <v>Late</v>
      </c>
      <c r="U429" s="1" t="str">
        <f t="shared" si="38"/>
        <v>2025-03</v>
      </c>
      <c r="V429" s="1" t="str">
        <f t="shared" si="39"/>
        <v>Good</v>
      </c>
      <c r="W429" s="1" t="str">
        <f t="shared" si="40"/>
        <v>Needs Coaching</v>
      </c>
      <c r="X429" s="1" t="str">
        <f t="shared" si="41"/>
        <v>Unique</v>
      </c>
    </row>
    <row r="430" spans="1:24" ht="15" customHeight="1">
      <c r="A430" s="1" t="str">
        <f>'Raw Tickets'!$A$430</f>
        <v>T00429</v>
      </c>
      <c r="B430" s="4">
        <f>'Raw Tickets'!$B$430</f>
        <v>45956</v>
      </c>
      <c r="C430" s="1" t="str">
        <f>'Raw Tickets'!$C$430</f>
        <v>A011</v>
      </c>
      <c r="D430" s="1" t="str">
        <f>'Raw Tickets'!$D$430</f>
        <v>Chat</v>
      </c>
      <c r="E430" s="1" t="str">
        <f>'Raw Tickets'!$E$430</f>
        <v>Payment Failure</v>
      </c>
      <c r="F430" s="1" t="str">
        <f>'Raw Tickets'!$F$430</f>
        <v>High</v>
      </c>
      <c r="G430" s="1">
        <f>'Raw Tickets'!$G$430</f>
        <v>9.8000000000000007</v>
      </c>
      <c r="H430" s="1">
        <f>'Raw Tickets'!$H$430</f>
        <v>39</v>
      </c>
      <c r="I430" s="1">
        <f>'Raw Tickets'!$I$430</f>
        <v>3</v>
      </c>
      <c r="J430" s="6">
        <f>'Raw Tickets'!$J$430</f>
        <v>81.7</v>
      </c>
      <c r="K430" s="1" t="str">
        <f>'Raw Tickets'!$K$430</f>
        <v>Closed</v>
      </c>
      <c r="L430" s="1" t="str">
        <f>'Raw Tickets'!$L$430</f>
        <v>No</v>
      </c>
      <c r="M430" s="1" t="str">
        <f>'Raw Tickets'!$M$430</f>
        <v>No</v>
      </c>
      <c r="N430" s="1" t="str">
        <f>IFERROR(VLOOKUP(C430,Agents!$A$2:$E$26,2,FALSE),"")</f>
        <v>Shreya Singh</v>
      </c>
      <c r="O430" s="1" t="str">
        <f>IFERROR(INDEX(Agents!$D$2:$D$26,MATCH(C430,Agents!$A$2:$A$26,0)),"")</f>
        <v>Chat Support</v>
      </c>
      <c r="P430" s="1" t="str">
        <f>IFERROR(VLOOKUP(C430,Agents!$A$2:$E$26,3,FALSE),"")</f>
        <v>Nitin Gupta</v>
      </c>
      <c r="Q430" s="1" t="str">
        <f>IFERROR(VLOOKUP(C430,Agents!$A$2:$E$26,5,FALSE),"")</f>
        <v>Noida</v>
      </c>
      <c r="R430" s="1">
        <f>IFERROR(VLOOKUP(F430,#REF!,2,FALSE),0)</f>
        <v>0</v>
      </c>
      <c r="S430" s="1" t="str">
        <f t="shared" si="36"/>
        <v>Breached</v>
      </c>
      <c r="T430" s="1" t="str">
        <f t="shared" si="37"/>
        <v>Late</v>
      </c>
      <c r="U430" s="1" t="str">
        <f t="shared" si="38"/>
        <v>2025-10</v>
      </c>
      <c r="V430" s="1" t="str">
        <f t="shared" si="39"/>
        <v>Average</v>
      </c>
      <c r="W430" s="1" t="str">
        <f t="shared" si="40"/>
        <v>Needs Coaching</v>
      </c>
      <c r="X430" s="1" t="str">
        <f t="shared" si="41"/>
        <v>Unique</v>
      </c>
    </row>
    <row r="431" spans="1:24" ht="15" customHeight="1">
      <c r="A431" s="1" t="str">
        <f>'Raw Tickets'!$A$431</f>
        <v>T00430</v>
      </c>
      <c r="B431" s="4">
        <f>'Raw Tickets'!$B$431</f>
        <v>45829</v>
      </c>
      <c r="C431" s="1" t="str">
        <f>'Raw Tickets'!$C$431</f>
        <v>A023</v>
      </c>
      <c r="D431" s="1" t="str">
        <f>'Raw Tickets'!$D$431</f>
        <v>Chat</v>
      </c>
      <c r="E431" s="1" t="str">
        <f>'Raw Tickets'!$E$431</f>
        <v>Payment Failure</v>
      </c>
      <c r="F431" s="1" t="str">
        <f>'Raw Tickets'!$F$431</f>
        <v>Low</v>
      </c>
      <c r="G431" s="1">
        <f>'Raw Tickets'!$G$431</f>
        <v>66.400000000000006</v>
      </c>
      <c r="H431" s="1">
        <f>'Raw Tickets'!$H$431</f>
        <v>40</v>
      </c>
      <c r="I431" s="1">
        <f>'Raw Tickets'!$I$431</f>
        <v>5</v>
      </c>
      <c r="J431" s="6">
        <f>'Raw Tickets'!$J$431</f>
        <v>94.8</v>
      </c>
      <c r="K431" s="1" t="str">
        <f>'Raw Tickets'!$K$431</f>
        <v>Closed</v>
      </c>
      <c r="L431" s="1" t="str">
        <f>'Raw Tickets'!$L$431</f>
        <v>No</v>
      </c>
      <c r="M431" s="1" t="str">
        <f>'Raw Tickets'!$M$431</f>
        <v>No</v>
      </c>
      <c r="N431" s="1" t="str">
        <f>IFERROR(VLOOKUP(C431,Agents!$A$2:$E$26,2,FALSE),"")</f>
        <v>Ishita Verma</v>
      </c>
      <c r="O431" s="1" t="str">
        <f>IFERROR(INDEX(Agents!$D$2:$D$26,MATCH(C431,Agents!$A$2:$A$26,0)),"")</f>
        <v>Seller Support</v>
      </c>
      <c r="P431" s="1" t="str">
        <f>IFERROR(VLOOKUP(C431,Agents!$A$2:$E$26,3,FALSE),"")</f>
        <v>Vivek Jain</v>
      </c>
      <c r="Q431" s="1" t="str">
        <f>IFERROR(VLOOKUP(C431,Agents!$A$2:$E$26,5,FALSE),"")</f>
        <v>Noida</v>
      </c>
      <c r="R431" s="1">
        <f>IFERROR(VLOOKUP(F431,#REF!,2,FALSE),0)</f>
        <v>0</v>
      </c>
      <c r="S431" s="1" t="str">
        <f t="shared" si="36"/>
        <v>Breached</v>
      </c>
      <c r="T431" s="1" t="str">
        <f t="shared" si="37"/>
        <v>Late</v>
      </c>
      <c r="U431" s="1" t="str">
        <f t="shared" si="38"/>
        <v>2025-06</v>
      </c>
      <c r="V431" s="1" t="str">
        <f t="shared" si="39"/>
        <v>Good</v>
      </c>
      <c r="W431" s="1" t="str">
        <f t="shared" si="40"/>
        <v>Pass</v>
      </c>
      <c r="X431" s="1" t="str">
        <f t="shared" si="41"/>
        <v>Unique</v>
      </c>
    </row>
    <row r="432" spans="1:24" ht="15" customHeight="1">
      <c r="A432" s="1" t="str">
        <f>'Raw Tickets'!$A$432</f>
        <v>T00431</v>
      </c>
      <c r="B432" s="4">
        <f>'Raw Tickets'!$B$432</f>
        <v>45717</v>
      </c>
      <c r="C432" s="1" t="str">
        <f>'Raw Tickets'!$C$432</f>
        <v>A023</v>
      </c>
      <c r="D432" s="1" t="str">
        <f>'Raw Tickets'!$D$432</f>
        <v>Call</v>
      </c>
      <c r="E432" s="1" t="str">
        <f>'Raw Tickets'!$E$432</f>
        <v>Delivery Delay</v>
      </c>
      <c r="F432" s="1" t="str">
        <f>'Raw Tickets'!$F$432</f>
        <v>Medium</v>
      </c>
      <c r="G432" s="1">
        <f>'Raw Tickets'!$G$432</f>
        <v>0.5</v>
      </c>
      <c r="H432" s="1">
        <f>'Raw Tickets'!$H$432</f>
        <v>27</v>
      </c>
      <c r="I432" s="1">
        <f>'Raw Tickets'!$I$432</f>
        <v>4</v>
      </c>
      <c r="J432" s="6">
        <f>'Raw Tickets'!$J$432</f>
        <v>81.900000000000006</v>
      </c>
      <c r="K432" s="1" t="str">
        <f>'Raw Tickets'!$K$432</f>
        <v>Closed</v>
      </c>
      <c r="L432" s="1" t="str">
        <f>'Raw Tickets'!$L$432</f>
        <v>No</v>
      </c>
      <c r="M432" s="1" t="str">
        <f>'Raw Tickets'!$M$432</f>
        <v>No</v>
      </c>
      <c r="N432" s="1" t="str">
        <f>IFERROR(VLOOKUP(C432,Agents!$A$2:$E$26,2,FALSE),"")</f>
        <v>Ishita Verma</v>
      </c>
      <c r="O432" s="1" t="str">
        <f>IFERROR(INDEX(Agents!$D$2:$D$26,MATCH(C432,Agents!$A$2:$A$26,0)),"")</f>
        <v>Seller Support</v>
      </c>
      <c r="P432" s="1" t="str">
        <f>IFERROR(VLOOKUP(C432,Agents!$A$2:$E$26,3,FALSE),"")</f>
        <v>Vivek Jain</v>
      </c>
      <c r="Q432" s="1" t="str">
        <f>IFERROR(VLOOKUP(C432,Agents!$A$2:$E$26,5,FALSE),"")</f>
        <v>Noida</v>
      </c>
      <c r="R432" s="1">
        <f>IFERROR(VLOOKUP(F432,#REF!,2,FALSE),0)</f>
        <v>0</v>
      </c>
      <c r="S432" s="1" t="str">
        <f t="shared" si="36"/>
        <v>Breached</v>
      </c>
      <c r="T432" s="1" t="str">
        <f t="shared" si="37"/>
        <v>Within Target</v>
      </c>
      <c r="U432" s="1" t="str">
        <f t="shared" si="38"/>
        <v>2025-03</v>
      </c>
      <c r="V432" s="1" t="str">
        <f t="shared" si="39"/>
        <v>Good</v>
      </c>
      <c r="W432" s="1" t="str">
        <f t="shared" si="40"/>
        <v>Needs Coaching</v>
      </c>
      <c r="X432" s="1" t="str">
        <f t="shared" si="41"/>
        <v>Unique</v>
      </c>
    </row>
    <row r="433" spans="1:24" ht="15" customHeight="1">
      <c r="A433" s="1" t="str">
        <f>'Raw Tickets'!$A$433</f>
        <v>T00432</v>
      </c>
      <c r="B433" s="4">
        <f>'Raw Tickets'!$B$433</f>
        <v>45746</v>
      </c>
      <c r="C433" s="1" t="str">
        <f>'Raw Tickets'!$C$433</f>
        <v>A015</v>
      </c>
      <c r="D433" s="1" t="str">
        <f>'Raw Tickets'!$D$433</f>
        <v>Call</v>
      </c>
      <c r="E433" s="1" t="str">
        <f>'Raw Tickets'!$E$433</f>
        <v>Delivery Delay</v>
      </c>
      <c r="F433" s="1" t="str">
        <f>'Raw Tickets'!$F$433</f>
        <v>High</v>
      </c>
      <c r="G433" s="1">
        <f>'Raw Tickets'!$G$433</f>
        <v>18</v>
      </c>
      <c r="H433" s="1">
        <f>'Raw Tickets'!$H$433</f>
        <v>26</v>
      </c>
      <c r="I433" s="1">
        <f>'Raw Tickets'!$I$433</f>
        <v>4</v>
      </c>
      <c r="J433" s="6">
        <f>'Raw Tickets'!$J$433</f>
        <v>91</v>
      </c>
      <c r="K433" s="1" t="str">
        <f>'Raw Tickets'!$K$433</f>
        <v>Closed</v>
      </c>
      <c r="L433" s="1" t="str">
        <f>'Raw Tickets'!$L$433</f>
        <v>No</v>
      </c>
      <c r="M433" s="1" t="str">
        <f>'Raw Tickets'!$M$433</f>
        <v>No</v>
      </c>
      <c r="N433" s="1" t="str">
        <f>IFERROR(VLOOKUP(C433,Agents!$A$2:$E$26,2,FALSE),"")</f>
        <v>Neha Jain</v>
      </c>
      <c r="O433" s="1" t="str">
        <f>IFERROR(INDEX(Agents!$D$2:$D$26,MATCH(C433,Agents!$A$2:$A$26,0)),"")</f>
        <v>Chat Support</v>
      </c>
      <c r="P433" s="1" t="str">
        <f>IFERROR(VLOOKUP(C433,Agents!$A$2:$E$26,3,FALSE),"")</f>
        <v>Nitin Gupta</v>
      </c>
      <c r="Q433" s="1" t="str">
        <f>IFERROR(VLOOKUP(C433,Agents!$A$2:$E$26,5,FALSE),"")</f>
        <v>Bengaluru</v>
      </c>
      <c r="R433" s="1">
        <f>IFERROR(VLOOKUP(F433,#REF!,2,FALSE),0)</f>
        <v>0</v>
      </c>
      <c r="S433" s="1" t="str">
        <f t="shared" si="36"/>
        <v>Breached</v>
      </c>
      <c r="T433" s="1" t="str">
        <f t="shared" si="37"/>
        <v>Within Target</v>
      </c>
      <c r="U433" s="1" t="str">
        <f t="shared" si="38"/>
        <v>2025-03</v>
      </c>
      <c r="V433" s="1" t="str">
        <f t="shared" si="39"/>
        <v>Good</v>
      </c>
      <c r="W433" s="1" t="str">
        <f t="shared" si="40"/>
        <v>Pass</v>
      </c>
      <c r="X433" s="1" t="str">
        <f t="shared" si="41"/>
        <v>Unique</v>
      </c>
    </row>
    <row r="434" spans="1:24" ht="15" customHeight="1">
      <c r="A434" s="1" t="str">
        <f>'Raw Tickets'!$A$434</f>
        <v>T00433</v>
      </c>
      <c r="B434" s="4">
        <f>'Raw Tickets'!$B$434</f>
        <v>45951</v>
      </c>
      <c r="C434" s="1" t="str">
        <f>'Raw Tickets'!$C$434</f>
        <v>A019</v>
      </c>
      <c r="D434" s="1" t="str">
        <f>'Raw Tickets'!$D$434</f>
        <v>Call</v>
      </c>
      <c r="E434" s="1" t="str">
        <f>'Raw Tickets'!$E$434</f>
        <v>Order Cancellation</v>
      </c>
      <c r="F434" s="1" t="str">
        <f>'Raw Tickets'!$F$434</f>
        <v>Low</v>
      </c>
      <c r="G434" s="1">
        <f>'Raw Tickets'!$G$434</f>
        <v>40.299999999999997</v>
      </c>
      <c r="H434" s="1">
        <f>'Raw Tickets'!$H$434</f>
        <v>65</v>
      </c>
      <c r="I434" s="1">
        <f>'Raw Tickets'!$I$434</f>
        <v>4</v>
      </c>
      <c r="J434" s="6">
        <f>'Raw Tickets'!$J$434</f>
        <v>84.8</v>
      </c>
      <c r="K434" s="1" t="str">
        <f>'Raw Tickets'!$K$434</f>
        <v>Closed</v>
      </c>
      <c r="L434" s="1" t="str">
        <f>'Raw Tickets'!$L$434</f>
        <v>No</v>
      </c>
      <c r="M434" s="1" t="str">
        <f>'Raw Tickets'!$M$434</f>
        <v>No</v>
      </c>
      <c r="N434" s="1" t="str">
        <f>IFERROR(VLOOKUP(C434,Agents!$A$2:$E$26,2,FALSE),"")</f>
        <v>Sneha Joshi</v>
      </c>
      <c r="O434" s="1" t="str">
        <f>IFERROR(INDEX(Agents!$D$2:$D$26,MATCH(C434,Agents!$A$2:$A$26,0)),"")</f>
        <v>Escalations</v>
      </c>
      <c r="P434" s="1" t="str">
        <f>IFERROR(VLOOKUP(C434,Agents!$A$2:$E$26,3,FALSE),"")</f>
        <v>Pallavi Rao</v>
      </c>
      <c r="Q434" s="1" t="str">
        <f>IFERROR(VLOOKUP(C434,Agents!$A$2:$E$26,5,FALSE),"")</f>
        <v>Hyderabad</v>
      </c>
      <c r="R434" s="1">
        <f>IFERROR(VLOOKUP(F434,#REF!,2,FALSE),0)</f>
        <v>0</v>
      </c>
      <c r="S434" s="1" t="str">
        <f t="shared" si="36"/>
        <v>Breached</v>
      </c>
      <c r="T434" s="1" t="str">
        <f t="shared" si="37"/>
        <v>Late</v>
      </c>
      <c r="U434" s="1" t="str">
        <f t="shared" si="38"/>
        <v>2025-10</v>
      </c>
      <c r="V434" s="1" t="str">
        <f t="shared" si="39"/>
        <v>Good</v>
      </c>
      <c r="W434" s="1" t="str">
        <f t="shared" si="40"/>
        <v>Needs Coaching</v>
      </c>
      <c r="X434" s="1" t="str">
        <f t="shared" si="41"/>
        <v>Unique</v>
      </c>
    </row>
    <row r="435" spans="1:24" ht="15" customHeight="1">
      <c r="A435" s="1" t="str">
        <f>'Raw Tickets'!$A$435</f>
        <v>T00434</v>
      </c>
      <c r="B435" s="4">
        <f>'Raw Tickets'!$B$435</f>
        <v>46016</v>
      </c>
      <c r="C435" s="1" t="str">
        <f>'Raw Tickets'!$C$435</f>
        <v>A007</v>
      </c>
      <c r="D435" s="1" t="str">
        <f>'Raw Tickets'!$D$435</f>
        <v>Email</v>
      </c>
      <c r="E435" s="1" t="str">
        <f>'Raw Tickets'!$E$435</f>
        <v>Order Cancellation</v>
      </c>
      <c r="F435" s="1" t="str">
        <f>'Raw Tickets'!$F$435</f>
        <v>Low</v>
      </c>
      <c r="G435" s="1">
        <f>'Raw Tickets'!$G$435</f>
        <v>24.3</v>
      </c>
      <c r="H435" s="1">
        <f>'Raw Tickets'!$H$435</f>
        <v>41</v>
      </c>
      <c r="I435" s="1">
        <f>'Raw Tickets'!$I$435</f>
        <v>4</v>
      </c>
      <c r="J435" s="6">
        <f>'Raw Tickets'!$J$435</f>
        <v>77.3</v>
      </c>
      <c r="K435" s="1" t="str">
        <f>'Raw Tickets'!$K$435</f>
        <v>Closed</v>
      </c>
      <c r="L435" s="1" t="str">
        <f>'Raw Tickets'!$L$435</f>
        <v>No</v>
      </c>
      <c r="M435" s="1" t="str">
        <f>'Raw Tickets'!$M$435</f>
        <v>No</v>
      </c>
      <c r="N435" s="1" t="str">
        <f>IFERROR(VLOOKUP(C435,Agents!$A$2:$E$26,2,FALSE),"")</f>
        <v>Kavya Patel</v>
      </c>
      <c r="O435" s="1" t="str">
        <f>IFERROR(INDEX(Agents!$D$2:$D$26,MATCH(C435,Agents!$A$2:$A$26,0)),"")</f>
        <v>Voice Support</v>
      </c>
      <c r="P435" s="1" t="str">
        <f>IFERROR(VLOOKUP(C435,Agents!$A$2:$E$26,3,FALSE),"")</f>
        <v>Kritika Shah</v>
      </c>
      <c r="Q435" s="1" t="str">
        <f>IFERROR(VLOOKUP(C435,Agents!$A$2:$E$26,5,FALSE),"")</f>
        <v>Noida</v>
      </c>
      <c r="R435" s="1">
        <f>IFERROR(VLOOKUP(F435,#REF!,2,FALSE),0)</f>
        <v>0</v>
      </c>
      <c r="S435" s="1" t="str">
        <f t="shared" si="36"/>
        <v>Breached</v>
      </c>
      <c r="T435" s="1" t="str">
        <f t="shared" si="37"/>
        <v>Late</v>
      </c>
      <c r="U435" s="1" t="str">
        <f t="shared" si="38"/>
        <v>2025-12</v>
      </c>
      <c r="V435" s="1" t="str">
        <f t="shared" si="39"/>
        <v>Good</v>
      </c>
      <c r="W435" s="1" t="str">
        <f t="shared" si="40"/>
        <v>Needs Coaching</v>
      </c>
      <c r="X435" s="1" t="str">
        <f t="shared" si="41"/>
        <v>Unique</v>
      </c>
    </row>
    <row r="436" spans="1:24" ht="15" customHeight="1">
      <c r="A436" s="1" t="str">
        <f>'Raw Tickets'!$A$436</f>
        <v>T00435</v>
      </c>
      <c r="B436" s="4">
        <f>'Raw Tickets'!$B$436</f>
        <v>45803</v>
      </c>
      <c r="C436" s="1" t="str">
        <f>'Raw Tickets'!$C$436</f>
        <v>A025</v>
      </c>
      <c r="D436" s="1" t="str">
        <f>'Raw Tickets'!$D$436</f>
        <v>Chat</v>
      </c>
      <c r="E436" s="1" t="str">
        <f>'Raw Tickets'!$E$436</f>
        <v>Account Issue</v>
      </c>
      <c r="F436" s="1" t="str">
        <f>'Raw Tickets'!$F$436</f>
        <v>High</v>
      </c>
      <c r="G436" s="1">
        <f>'Raw Tickets'!$G$436</f>
        <v>6.4</v>
      </c>
      <c r="H436" s="1">
        <f>'Raw Tickets'!$H$436</f>
        <v>28</v>
      </c>
      <c r="I436" s="1">
        <f>'Raw Tickets'!$I$436</f>
        <v>4</v>
      </c>
      <c r="J436" s="6">
        <f>'Raw Tickets'!$J$436</f>
        <v>96.8</v>
      </c>
      <c r="K436" s="1" t="str">
        <f>'Raw Tickets'!$K$436</f>
        <v>Closed</v>
      </c>
      <c r="L436" s="1" t="str">
        <f>'Raw Tickets'!$L$436</f>
        <v>No</v>
      </c>
      <c r="M436" s="1" t="str">
        <f>'Raw Tickets'!$M$436</f>
        <v>Yes</v>
      </c>
      <c r="N436" s="1" t="str">
        <f>IFERROR(VLOOKUP(C436,Agents!$A$2:$E$26,2,FALSE),"")</f>
        <v>Arjun Nair</v>
      </c>
      <c r="O436" s="1" t="str">
        <f>IFERROR(INDEX(Agents!$D$2:$D$26,MATCH(C436,Agents!$A$2:$A$26,0)),"")</f>
        <v>Seller Support</v>
      </c>
      <c r="P436" s="1" t="str">
        <f>IFERROR(VLOOKUP(C436,Agents!$A$2:$E$26,3,FALSE),"")</f>
        <v>Vivek Jain</v>
      </c>
      <c r="Q436" s="1" t="str">
        <f>IFERROR(VLOOKUP(C436,Agents!$A$2:$E$26,5,FALSE),"")</f>
        <v>Noida</v>
      </c>
      <c r="R436" s="1">
        <f>IFERROR(VLOOKUP(F436,#REF!,2,FALSE),0)</f>
        <v>0</v>
      </c>
      <c r="S436" s="1" t="str">
        <f t="shared" si="36"/>
        <v>Breached</v>
      </c>
      <c r="T436" s="1" t="str">
        <f t="shared" si="37"/>
        <v>Within Target</v>
      </c>
      <c r="U436" s="1" t="str">
        <f t="shared" si="38"/>
        <v>2025-05</v>
      </c>
      <c r="V436" s="1" t="str">
        <f t="shared" si="39"/>
        <v>Good</v>
      </c>
      <c r="W436" s="1" t="str">
        <f t="shared" si="40"/>
        <v>Pass</v>
      </c>
      <c r="X436" s="1" t="str">
        <f t="shared" si="41"/>
        <v>Unique</v>
      </c>
    </row>
    <row r="437" spans="1:24" ht="15" customHeight="1">
      <c r="A437" s="1" t="str">
        <f>'Raw Tickets'!$A$437</f>
        <v>T00436</v>
      </c>
      <c r="B437" s="4">
        <f>'Raw Tickets'!$B$437</f>
        <v>45815</v>
      </c>
      <c r="C437" s="1" t="str">
        <f>'Raw Tickets'!$C$437</f>
        <v>A015</v>
      </c>
      <c r="D437" s="1" t="str">
        <f>'Raw Tickets'!$D$437</f>
        <v>Chat</v>
      </c>
      <c r="E437" s="1" t="str">
        <f>'Raw Tickets'!$E$437</f>
        <v>Order Cancellation</v>
      </c>
      <c r="F437" s="1" t="str">
        <f>'Raw Tickets'!$F$437</f>
        <v>High</v>
      </c>
      <c r="G437" s="1">
        <f>'Raw Tickets'!$G$437</f>
        <v>14.3</v>
      </c>
      <c r="H437" s="1">
        <f>'Raw Tickets'!$H$437</f>
        <v>39</v>
      </c>
      <c r="I437" s="1">
        <f>'Raw Tickets'!$I$437</f>
        <v>5</v>
      </c>
      <c r="J437" s="6">
        <f>'Raw Tickets'!$J$437</f>
        <v>86.6</v>
      </c>
      <c r="K437" s="1" t="str">
        <f>'Raw Tickets'!$K$437</f>
        <v>Closed</v>
      </c>
      <c r="L437" s="1" t="str">
        <f>'Raw Tickets'!$L$437</f>
        <v>No</v>
      </c>
      <c r="M437" s="1" t="str">
        <f>'Raw Tickets'!$M$437</f>
        <v>Yes</v>
      </c>
      <c r="N437" s="1" t="str">
        <f>IFERROR(VLOOKUP(C437,Agents!$A$2:$E$26,2,FALSE),"")</f>
        <v>Neha Jain</v>
      </c>
      <c r="O437" s="1" t="str">
        <f>IFERROR(INDEX(Agents!$D$2:$D$26,MATCH(C437,Agents!$A$2:$A$26,0)),"")</f>
        <v>Chat Support</v>
      </c>
      <c r="P437" s="1" t="str">
        <f>IFERROR(VLOOKUP(C437,Agents!$A$2:$E$26,3,FALSE),"")</f>
        <v>Nitin Gupta</v>
      </c>
      <c r="Q437" s="1" t="str">
        <f>IFERROR(VLOOKUP(C437,Agents!$A$2:$E$26,5,FALSE),"")</f>
        <v>Bengaluru</v>
      </c>
      <c r="R437" s="1">
        <f>IFERROR(VLOOKUP(F437,#REF!,2,FALSE),0)</f>
        <v>0</v>
      </c>
      <c r="S437" s="1" t="str">
        <f t="shared" si="36"/>
        <v>Breached</v>
      </c>
      <c r="T437" s="1" t="str">
        <f t="shared" si="37"/>
        <v>Late</v>
      </c>
      <c r="U437" s="1" t="str">
        <f t="shared" si="38"/>
        <v>2025-06</v>
      </c>
      <c r="V437" s="1" t="str">
        <f t="shared" si="39"/>
        <v>Good</v>
      </c>
      <c r="W437" s="1" t="str">
        <f t="shared" si="40"/>
        <v>Pass</v>
      </c>
      <c r="X437" s="1" t="str">
        <f t="shared" si="41"/>
        <v>Unique</v>
      </c>
    </row>
    <row r="438" spans="1:24" ht="15" customHeight="1">
      <c r="A438" s="1" t="str">
        <f>'Raw Tickets'!$A$438</f>
        <v>T00437</v>
      </c>
      <c r="B438" s="4">
        <f>'Raw Tickets'!$B$438</f>
        <v>45742</v>
      </c>
      <c r="C438" s="1" t="str">
        <f>'Raw Tickets'!$C$438</f>
        <v>A024</v>
      </c>
      <c r="D438" s="1" t="str">
        <f>'Raw Tickets'!$D$438</f>
        <v>Chat</v>
      </c>
      <c r="E438" s="1" t="str">
        <f>'Raw Tickets'!$E$438</f>
        <v>Payment Failure</v>
      </c>
      <c r="F438" s="1" t="str">
        <f>'Raw Tickets'!$F$438</f>
        <v>High</v>
      </c>
      <c r="G438" s="1">
        <f>'Raw Tickets'!$G$438</f>
        <v>7.1</v>
      </c>
      <c r="H438" s="1">
        <f>'Raw Tickets'!$H$438</f>
        <v>45</v>
      </c>
      <c r="I438" s="1">
        <f>'Raw Tickets'!$I$438</f>
        <v>3</v>
      </c>
      <c r="J438" s="6">
        <f>'Raw Tickets'!$J$438</f>
        <v>80.8</v>
      </c>
      <c r="K438" s="1" t="str">
        <f>'Raw Tickets'!$K$438</f>
        <v>Closed</v>
      </c>
      <c r="L438" s="1" t="str">
        <f>'Raw Tickets'!$L$438</f>
        <v>No</v>
      </c>
      <c r="M438" s="1" t="str">
        <f>'Raw Tickets'!$M$438</f>
        <v>No</v>
      </c>
      <c r="N438" s="1" t="str">
        <f>IFERROR(VLOOKUP(C438,Agents!$A$2:$E$26,2,FALSE),"")</f>
        <v>Rohan Verma</v>
      </c>
      <c r="O438" s="1" t="str">
        <f>IFERROR(INDEX(Agents!$D$2:$D$26,MATCH(C438,Agents!$A$2:$A$26,0)),"")</f>
        <v>Seller Support</v>
      </c>
      <c r="P438" s="1" t="str">
        <f>IFERROR(VLOOKUP(C438,Agents!$A$2:$E$26,3,FALSE),"")</f>
        <v>Vivek Jain</v>
      </c>
      <c r="Q438" s="1" t="str">
        <f>IFERROR(VLOOKUP(C438,Agents!$A$2:$E$26,5,FALSE),"")</f>
        <v>Noida</v>
      </c>
      <c r="R438" s="1">
        <f>IFERROR(VLOOKUP(F438,#REF!,2,FALSE),0)</f>
        <v>0</v>
      </c>
      <c r="S438" s="1" t="str">
        <f t="shared" si="36"/>
        <v>Breached</v>
      </c>
      <c r="T438" s="1" t="str">
        <f t="shared" si="37"/>
        <v>Late</v>
      </c>
      <c r="U438" s="1" t="str">
        <f t="shared" si="38"/>
        <v>2025-03</v>
      </c>
      <c r="V438" s="1" t="str">
        <f t="shared" si="39"/>
        <v>Average</v>
      </c>
      <c r="W438" s="1" t="str">
        <f t="shared" si="40"/>
        <v>Needs Coaching</v>
      </c>
      <c r="X438" s="1" t="str">
        <f t="shared" si="41"/>
        <v>Unique</v>
      </c>
    </row>
    <row r="439" spans="1:24" ht="15" customHeight="1">
      <c r="A439" s="1" t="str">
        <f>'Raw Tickets'!$A$439</f>
        <v>T00438</v>
      </c>
      <c r="B439" s="4">
        <f>'Raw Tickets'!$B$439</f>
        <v>45878</v>
      </c>
      <c r="C439" s="1" t="str">
        <f>'Raw Tickets'!$C$439</f>
        <v>A005</v>
      </c>
      <c r="D439" s="1" t="str">
        <f>'Raw Tickets'!$D$439</f>
        <v>Email</v>
      </c>
      <c r="E439" s="1" t="str">
        <f>'Raw Tickets'!$E$439</f>
        <v>Product Quality</v>
      </c>
      <c r="F439" s="1" t="str">
        <f>'Raw Tickets'!$F$439</f>
        <v>Medium</v>
      </c>
      <c r="G439" s="1">
        <f>'Raw Tickets'!$G$439</f>
        <v>23</v>
      </c>
      <c r="H439" s="1">
        <f>'Raw Tickets'!$H$439</f>
        <v>8</v>
      </c>
      <c r="I439" s="1">
        <f>'Raw Tickets'!$I$439</f>
        <v>4</v>
      </c>
      <c r="J439" s="6">
        <f>'Raw Tickets'!$J$439</f>
        <v>78.8</v>
      </c>
      <c r="K439" s="1" t="str">
        <f>'Raw Tickets'!$K$439</f>
        <v>Closed</v>
      </c>
      <c r="L439" s="1" t="str">
        <f>'Raw Tickets'!$L$439</f>
        <v>No</v>
      </c>
      <c r="M439" s="1" t="str">
        <f>'Raw Tickets'!$M$439</f>
        <v>No</v>
      </c>
      <c r="N439" s="1" t="str">
        <f>IFERROR(VLOOKUP(C439,Agents!$A$2:$E$26,2,FALSE),"")</f>
        <v>Aditi Verma</v>
      </c>
      <c r="O439" s="1" t="str">
        <f>IFERROR(INDEX(Agents!$D$2:$D$26,MATCH(C439,Agents!$A$2:$A$26,0)),"")</f>
        <v>Email Support</v>
      </c>
      <c r="P439" s="1" t="str">
        <f>IFERROR(VLOOKUP(C439,Agents!$A$2:$E$26,3,FALSE),"")</f>
        <v>Aman Verma</v>
      </c>
      <c r="Q439" s="1" t="str">
        <f>IFERROR(VLOOKUP(C439,Agents!$A$2:$E$26,5,FALSE),"")</f>
        <v>Gurugram</v>
      </c>
      <c r="R439" s="1">
        <f>IFERROR(VLOOKUP(F439,#REF!,2,FALSE),0)</f>
        <v>0</v>
      </c>
      <c r="S439" s="1" t="str">
        <f t="shared" si="36"/>
        <v>Breached</v>
      </c>
      <c r="T439" s="1" t="str">
        <f t="shared" si="37"/>
        <v>Within Target</v>
      </c>
      <c r="U439" s="1" t="str">
        <f t="shared" si="38"/>
        <v>2025-08</v>
      </c>
      <c r="V439" s="1" t="str">
        <f t="shared" si="39"/>
        <v>Good</v>
      </c>
      <c r="W439" s="1" t="str">
        <f t="shared" si="40"/>
        <v>Needs Coaching</v>
      </c>
      <c r="X439" s="1" t="str">
        <f t="shared" si="41"/>
        <v>Unique</v>
      </c>
    </row>
    <row r="440" spans="1:24" ht="15" customHeight="1">
      <c r="A440" s="1" t="str">
        <f>'Raw Tickets'!$A$440</f>
        <v>T00439</v>
      </c>
      <c r="B440" s="4">
        <f>'Raw Tickets'!$B$440</f>
        <v>45790</v>
      </c>
      <c r="C440" s="1" t="str">
        <f>'Raw Tickets'!$C$440</f>
        <v>A006</v>
      </c>
      <c r="D440" s="1" t="str">
        <f>'Raw Tickets'!$D$440</f>
        <v>Call</v>
      </c>
      <c r="E440" s="1" t="str">
        <f>'Raw Tickets'!$E$440</f>
        <v>Account Issue</v>
      </c>
      <c r="F440" s="1" t="str">
        <f>'Raw Tickets'!$F$440</f>
        <v>Medium</v>
      </c>
      <c r="G440" s="1">
        <f>'Raw Tickets'!$G$440</f>
        <v>26.1</v>
      </c>
      <c r="H440" s="1">
        <f>'Raw Tickets'!$H$440</f>
        <v>38</v>
      </c>
      <c r="I440" s="1">
        <f>'Raw Tickets'!$I$440</f>
        <v>3</v>
      </c>
      <c r="J440" s="6">
        <f>'Raw Tickets'!$J$440</f>
        <v>83.6</v>
      </c>
      <c r="K440" s="1" t="str">
        <f>'Raw Tickets'!$K$440</f>
        <v>Open</v>
      </c>
      <c r="L440" s="1" t="str">
        <f>'Raw Tickets'!$L$440</f>
        <v>No</v>
      </c>
      <c r="M440" s="1" t="str">
        <f>'Raw Tickets'!$M$440</f>
        <v>No</v>
      </c>
      <c r="N440" s="1" t="str">
        <f>IFERROR(VLOOKUP(C440,Agents!$A$2:$E$26,2,FALSE),"")</f>
        <v>Divya Shah</v>
      </c>
      <c r="O440" s="1" t="str">
        <f>IFERROR(INDEX(Agents!$D$2:$D$26,MATCH(C440,Agents!$A$2:$A$26,0)),"")</f>
        <v>Voice Support</v>
      </c>
      <c r="P440" s="1" t="str">
        <f>IFERROR(VLOOKUP(C440,Agents!$A$2:$E$26,3,FALSE),"")</f>
        <v>Kritika Shah</v>
      </c>
      <c r="Q440" s="1" t="str">
        <f>IFERROR(VLOOKUP(C440,Agents!$A$2:$E$26,5,FALSE),"")</f>
        <v>Gurugram</v>
      </c>
      <c r="R440" s="1">
        <f>IFERROR(VLOOKUP(F440,#REF!,2,FALSE),0)</f>
        <v>0</v>
      </c>
      <c r="S440" s="1" t="str">
        <f t="shared" si="36"/>
        <v>Breached</v>
      </c>
      <c r="T440" s="1" t="str">
        <f t="shared" si="37"/>
        <v>Late</v>
      </c>
      <c r="U440" s="1" t="str">
        <f t="shared" si="38"/>
        <v>2025-05</v>
      </c>
      <c r="V440" s="1" t="str">
        <f t="shared" si="39"/>
        <v>Average</v>
      </c>
      <c r="W440" s="1" t="str">
        <f t="shared" si="40"/>
        <v>Needs Coaching</v>
      </c>
      <c r="X440" s="1" t="str">
        <f t="shared" si="41"/>
        <v>Unique</v>
      </c>
    </row>
    <row r="441" spans="1:24" ht="15" customHeight="1">
      <c r="A441" s="1" t="str">
        <f>'Raw Tickets'!$A$441</f>
        <v>T00440</v>
      </c>
      <c r="B441" s="4">
        <f>'Raw Tickets'!$B$441</f>
        <v>45760</v>
      </c>
      <c r="C441" s="1" t="str">
        <f>'Raw Tickets'!$C$441</f>
        <v>A025</v>
      </c>
      <c r="D441" s="1" t="str">
        <f>'Raw Tickets'!$D$441</f>
        <v>Chat</v>
      </c>
      <c r="E441" s="1" t="str">
        <f>'Raw Tickets'!$E$441</f>
        <v>Product Quality</v>
      </c>
      <c r="F441" s="1" t="str">
        <f>'Raw Tickets'!$F$441</f>
        <v>Low</v>
      </c>
      <c r="G441" s="1">
        <f>'Raw Tickets'!$G$441</f>
        <v>59.6</v>
      </c>
      <c r="H441" s="1">
        <f>'Raw Tickets'!$H$441</f>
        <v>66</v>
      </c>
      <c r="I441" s="1">
        <f>'Raw Tickets'!$I$441</f>
        <v>2</v>
      </c>
      <c r="J441" s="6">
        <f>'Raw Tickets'!$J$441</f>
        <v>94.5</v>
      </c>
      <c r="K441" s="1" t="str">
        <f>'Raw Tickets'!$K$441</f>
        <v>Closed</v>
      </c>
      <c r="L441" s="1" t="str">
        <f>'Raw Tickets'!$L$441</f>
        <v>No</v>
      </c>
      <c r="M441" s="1" t="str">
        <f>'Raw Tickets'!$M$441</f>
        <v>No</v>
      </c>
      <c r="N441" s="1" t="str">
        <f>IFERROR(VLOOKUP(C441,Agents!$A$2:$E$26,2,FALSE),"")</f>
        <v>Arjun Nair</v>
      </c>
      <c r="O441" s="1" t="str">
        <f>IFERROR(INDEX(Agents!$D$2:$D$26,MATCH(C441,Agents!$A$2:$A$26,0)),"")</f>
        <v>Seller Support</v>
      </c>
      <c r="P441" s="1" t="str">
        <f>IFERROR(VLOOKUP(C441,Agents!$A$2:$E$26,3,FALSE),"")</f>
        <v>Vivek Jain</v>
      </c>
      <c r="Q441" s="1" t="str">
        <f>IFERROR(VLOOKUP(C441,Agents!$A$2:$E$26,5,FALSE),"")</f>
        <v>Noida</v>
      </c>
      <c r="R441" s="1">
        <f>IFERROR(VLOOKUP(F441,#REF!,2,FALSE),0)</f>
        <v>0</v>
      </c>
      <c r="S441" s="1" t="str">
        <f t="shared" si="36"/>
        <v>Breached</v>
      </c>
      <c r="T441" s="1" t="str">
        <f t="shared" si="37"/>
        <v>Late</v>
      </c>
      <c r="U441" s="1" t="str">
        <f t="shared" si="38"/>
        <v>2025-04</v>
      </c>
      <c r="V441" s="1" t="str">
        <f t="shared" si="39"/>
        <v>Poor</v>
      </c>
      <c r="W441" s="1" t="str">
        <f t="shared" si="40"/>
        <v>Pass</v>
      </c>
      <c r="X441" s="1" t="str">
        <f t="shared" si="41"/>
        <v>Unique</v>
      </c>
    </row>
    <row r="442" spans="1:24" ht="15" customHeight="1">
      <c r="A442" s="1" t="str">
        <f>'Raw Tickets'!$A$442</f>
        <v>T00441</v>
      </c>
      <c r="B442" s="4">
        <f>'Raw Tickets'!$B$442</f>
        <v>45839</v>
      </c>
      <c r="C442" s="1" t="str">
        <f>'Raw Tickets'!$C$442</f>
        <v>A008</v>
      </c>
      <c r="D442" s="1" t="str">
        <f>'Raw Tickets'!$D$442</f>
        <v>Email</v>
      </c>
      <c r="E442" s="1" t="str">
        <f>'Raw Tickets'!$E$442</f>
        <v>Product Quality</v>
      </c>
      <c r="F442" s="1" t="str">
        <f>'Raw Tickets'!$F$442</f>
        <v>High</v>
      </c>
      <c r="G442" s="1">
        <f>'Raw Tickets'!$G$442</f>
        <v>12.8</v>
      </c>
      <c r="H442" s="1">
        <f>'Raw Tickets'!$H$442</f>
        <v>10</v>
      </c>
      <c r="I442" s="1">
        <f>'Raw Tickets'!$I$442</f>
        <v>5</v>
      </c>
      <c r="J442" s="6">
        <f>'Raw Tickets'!$J$442</f>
        <v>88.8</v>
      </c>
      <c r="K442" s="1" t="str">
        <f>'Raw Tickets'!$K$442</f>
        <v>Closed</v>
      </c>
      <c r="L442" s="1" t="str">
        <f>'Raw Tickets'!$L$442</f>
        <v>No</v>
      </c>
      <c r="M442" s="1" t="str">
        <f>'Raw Tickets'!$M$442</f>
        <v>Yes</v>
      </c>
      <c r="N442" s="1" t="str">
        <f>IFERROR(VLOOKUP(C442,Agents!$A$2:$E$26,2,FALSE),"")</f>
        <v>Ananya Mishra</v>
      </c>
      <c r="O442" s="1" t="str">
        <f>IFERROR(INDEX(Agents!$D$2:$D$26,MATCH(C442,Agents!$A$2:$A$26,0)),"")</f>
        <v>Voice Support</v>
      </c>
      <c r="P442" s="1" t="str">
        <f>IFERROR(VLOOKUP(C442,Agents!$A$2:$E$26,3,FALSE),"")</f>
        <v>Kritika Shah</v>
      </c>
      <c r="Q442" s="1" t="str">
        <f>IFERROR(VLOOKUP(C442,Agents!$A$2:$E$26,5,FALSE),"")</f>
        <v>Hyderabad</v>
      </c>
      <c r="R442" s="1">
        <f>IFERROR(VLOOKUP(F442,#REF!,2,FALSE),0)</f>
        <v>0</v>
      </c>
      <c r="S442" s="1" t="str">
        <f t="shared" si="36"/>
        <v>Breached</v>
      </c>
      <c r="T442" s="1" t="str">
        <f t="shared" si="37"/>
        <v>Within Target</v>
      </c>
      <c r="U442" s="1" t="str">
        <f t="shared" si="38"/>
        <v>2025-07</v>
      </c>
      <c r="V442" s="1" t="str">
        <f t="shared" si="39"/>
        <v>Good</v>
      </c>
      <c r="W442" s="1" t="str">
        <f t="shared" si="40"/>
        <v>Pass</v>
      </c>
      <c r="X442" s="1" t="str">
        <f t="shared" si="41"/>
        <v>Unique</v>
      </c>
    </row>
    <row r="443" spans="1:24" ht="15" customHeight="1">
      <c r="A443" s="1" t="str">
        <f>'Raw Tickets'!$A$443</f>
        <v>T00442</v>
      </c>
      <c r="B443" s="4">
        <f>'Raw Tickets'!$B$443</f>
        <v>45702</v>
      </c>
      <c r="C443" s="1" t="str">
        <f>'Raw Tickets'!$C$443</f>
        <v>A008</v>
      </c>
      <c r="D443" s="1" t="str">
        <f>'Raw Tickets'!$D$443</f>
        <v>Call</v>
      </c>
      <c r="E443" s="1" t="str">
        <f>'Raw Tickets'!$E$443</f>
        <v>Order Cancellation</v>
      </c>
      <c r="F443" s="1" t="str">
        <f>'Raw Tickets'!$F$443</f>
        <v>Critical</v>
      </c>
      <c r="G443" s="1">
        <f>'Raw Tickets'!$G$443</f>
        <v>3.4</v>
      </c>
      <c r="H443" s="1">
        <f>'Raw Tickets'!$H$443</f>
        <v>4</v>
      </c>
      <c r="I443" s="1">
        <f>'Raw Tickets'!$I$443</f>
        <v>4</v>
      </c>
      <c r="J443" s="6">
        <f>'Raw Tickets'!$J$443</f>
        <v>89.5</v>
      </c>
      <c r="K443" s="1" t="str">
        <f>'Raw Tickets'!$K$443</f>
        <v>Closed</v>
      </c>
      <c r="L443" s="1" t="str">
        <f>'Raw Tickets'!$L$443</f>
        <v>No</v>
      </c>
      <c r="M443" s="1" t="str">
        <f>'Raw Tickets'!$M$443</f>
        <v>Yes</v>
      </c>
      <c r="N443" s="1" t="str">
        <f>IFERROR(VLOOKUP(C443,Agents!$A$2:$E$26,2,FALSE),"")</f>
        <v>Ananya Mishra</v>
      </c>
      <c r="O443" s="1" t="str">
        <f>IFERROR(INDEX(Agents!$D$2:$D$26,MATCH(C443,Agents!$A$2:$A$26,0)),"")</f>
        <v>Voice Support</v>
      </c>
      <c r="P443" s="1" t="str">
        <f>IFERROR(VLOOKUP(C443,Agents!$A$2:$E$26,3,FALSE),"")</f>
        <v>Kritika Shah</v>
      </c>
      <c r="Q443" s="1" t="str">
        <f>IFERROR(VLOOKUP(C443,Agents!$A$2:$E$26,5,FALSE),"")</f>
        <v>Hyderabad</v>
      </c>
      <c r="R443" s="1">
        <f>IFERROR(VLOOKUP(F443,#REF!,2,FALSE),0)</f>
        <v>0</v>
      </c>
      <c r="S443" s="1" t="str">
        <f t="shared" si="36"/>
        <v>Breached</v>
      </c>
      <c r="T443" s="1" t="str">
        <f t="shared" si="37"/>
        <v>Within Target</v>
      </c>
      <c r="U443" s="1" t="str">
        <f t="shared" si="38"/>
        <v>2025-02</v>
      </c>
      <c r="V443" s="1" t="str">
        <f t="shared" si="39"/>
        <v>Good</v>
      </c>
      <c r="W443" s="1" t="str">
        <f t="shared" si="40"/>
        <v>Pass</v>
      </c>
      <c r="X443" s="1" t="str">
        <f t="shared" si="41"/>
        <v>Unique</v>
      </c>
    </row>
    <row r="444" spans="1:24" ht="15" customHeight="1">
      <c r="A444" s="1" t="str">
        <f>'Raw Tickets'!$A$444</f>
        <v>T00443</v>
      </c>
      <c r="B444" s="4">
        <f>'Raw Tickets'!$B$444</f>
        <v>45753</v>
      </c>
      <c r="C444" s="1" t="str">
        <f>'Raw Tickets'!$C$444</f>
        <v>A018</v>
      </c>
      <c r="D444" s="1" t="str">
        <f>'Raw Tickets'!$D$444</f>
        <v>Call</v>
      </c>
      <c r="E444" s="1" t="str">
        <f>'Raw Tickets'!$E$444</f>
        <v>Delivery Delay</v>
      </c>
      <c r="F444" s="1" t="str">
        <f>'Raw Tickets'!$F$444</f>
        <v>Critical</v>
      </c>
      <c r="G444" s="1">
        <f>'Raw Tickets'!$G$444</f>
        <v>3.2</v>
      </c>
      <c r="H444" s="1">
        <f>'Raw Tickets'!$H$444</f>
        <v>23</v>
      </c>
      <c r="I444" s="1">
        <f>'Raw Tickets'!$I$444</f>
        <v>1</v>
      </c>
      <c r="J444" s="6">
        <f>'Raw Tickets'!$J$444</f>
        <v>83.6</v>
      </c>
      <c r="K444" s="1" t="str">
        <f>'Raw Tickets'!$K$444</f>
        <v>Closed</v>
      </c>
      <c r="L444" s="1" t="str">
        <f>'Raw Tickets'!$L$444</f>
        <v>Yes</v>
      </c>
      <c r="M444" s="1" t="str">
        <f>'Raw Tickets'!$M$444</f>
        <v>No</v>
      </c>
      <c r="N444" s="1" t="str">
        <f>IFERROR(VLOOKUP(C444,Agents!$A$2:$E$26,2,FALSE),"")</f>
        <v>Rahul Verma</v>
      </c>
      <c r="O444" s="1" t="str">
        <f>IFERROR(INDEX(Agents!$D$2:$D$26,MATCH(C444,Agents!$A$2:$A$26,0)),"")</f>
        <v>Escalations</v>
      </c>
      <c r="P444" s="1" t="str">
        <f>IFERROR(VLOOKUP(C444,Agents!$A$2:$E$26,3,FALSE),"")</f>
        <v>Pallavi Rao</v>
      </c>
      <c r="Q444" s="1" t="str">
        <f>IFERROR(VLOOKUP(C444,Agents!$A$2:$E$26,5,FALSE),"")</f>
        <v>Hyderabad</v>
      </c>
      <c r="R444" s="1">
        <f>IFERROR(VLOOKUP(F444,#REF!,2,FALSE),0)</f>
        <v>0</v>
      </c>
      <c r="S444" s="1" t="str">
        <f t="shared" si="36"/>
        <v>Breached</v>
      </c>
      <c r="T444" s="1" t="str">
        <f t="shared" si="37"/>
        <v>Within Target</v>
      </c>
      <c r="U444" s="1" t="str">
        <f t="shared" si="38"/>
        <v>2025-04</v>
      </c>
      <c r="V444" s="1" t="str">
        <f t="shared" si="39"/>
        <v>Poor</v>
      </c>
      <c r="W444" s="1" t="str">
        <f t="shared" si="40"/>
        <v>Needs Coaching</v>
      </c>
      <c r="X444" s="1" t="str">
        <f t="shared" si="41"/>
        <v>Unique</v>
      </c>
    </row>
    <row r="445" spans="1:24" ht="15" customHeight="1">
      <c r="A445" s="1" t="str">
        <f>'Raw Tickets'!$A$445</f>
        <v>T00444</v>
      </c>
      <c r="B445" s="4">
        <f>'Raw Tickets'!$B$445</f>
        <v>45857</v>
      </c>
      <c r="C445" s="1" t="str">
        <f>'Raw Tickets'!$C$445</f>
        <v>A006</v>
      </c>
      <c r="D445" s="1" t="str">
        <f>'Raw Tickets'!$D$445</f>
        <v>Chat</v>
      </c>
      <c r="E445" s="1" t="str">
        <f>'Raw Tickets'!$E$445</f>
        <v>Payment Failure</v>
      </c>
      <c r="F445" s="1" t="str">
        <f>'Raw Tickets'!$F$445</f>
        <v>Low</v>
      </c>
      <c r="G445" s="1">
        <f>'Raw Tickets'!$G$445</f>
        <v>25</v>
      </c>
      <c r="H445" s="1">
        <f>'Raw Tickets'!$H$445</f>
        <v>48</v>
      </c>
      <c r="I445" s="1">
        <f>'Raw Tickets'!$I$445</f>
        <v>4</v>
      </c>
      <c r="J445" s="6">
        <f>'Raw Tickets'!$J$445</f>
        <v>88.1</v>
      </c>
      <c r="K445" s="1" t="str">
        <f>'Raw Tickets'!$K$445</f>
        <v>Closed</v>
      </c>
      <c r="L445" s="1" t="str">
        <f>'Raw Tickets'!$L$445</f>
        <v>No</v>
      </c>
      <c r="M445" s="1" t="str">
        <f>'Raw Tickets'!$M$445</f>
        <v>No</v>
      </c>
      <c r="N445" s="1" t="str">
        <f>IFERROR(VLOOKUP(C445,Agents!$A$2:$E$26,2,FALSE),"")</f>
        <v>Divya Shah</v>
      </c>
      <c r="O445" s="1" t="str">
        <f>IFERROR(INDEX(Agents!$D$2:$D$26,MATCH(C445,Agents!$A$2:$A$26,0)),"")</f>
        <v>Voice Support</v>
      </c>
      <c r="P445" s="1" t="str">
        <f>IFERROR(VLOOKUP(C445,Agents!$A$2:$E$26,3,FALSE),"")</f>
        <v>Kritika Shah</v>
      </c>
      <c r="Q445" s="1" t="str">
        <f>IFERROR(VLOOKUP(C445,Agents!$A$2:$E$26,5,FALSE),"")</f>
        <v>Gurugram</v>
      </c>
      <c r="R445" s="1">
        <f>IFERROR(VLOOKUP(F445,#REF!,2,FALSE),0)</f>
        <v>0</v>
      </c>
      <c r="S445" s="1" t="str">
        <f t="shared" si="36"/>
        <v>Breached</v>
      </c>
      <c r="T445" s="1" t="str">
        <f t="shared" si="37"/>
        <v>Late</v>
      </c>
      <c r="U445" s="1" t="str">
        <f t="shared" si="38"/>
        <v>2025-07</v>
      </c>
      <c r="V445" s="1" t="str">
        <f t="shared" si="39"/>
        <v>Good</v>
      </c>
      <c r="W445" s="1" t="str">
        <f t="shared" si="40"/>
        <v>Pass</v>
      </c>
      <c r="X445" s="1" t="str">
        <f t="shared" si="41"/>
        <v>Unique</v>
      </c>
    </row>
    <row r="446" spans="1:24" ht="15" customHeight="1">
      <c r="A446" s="1" t="str">
        <f>'Raw Tickets'!$A$446</f>
        <v>T00445</v>
      </c>
      <c r="B446" s="4">
        <f>'Raw Tickets'!$B$446</f>
        <v>45682</v>
      </c>
      <c r="C446" s="1" t="str">
        <f>'Raw Tickets'!$C$446</f>
        <v>A006</v>
      </c>
      <c r="D446" s="1" t="str">
        <f>'Raw Tickets'!$D$446</f>
        <v>Email</v>
      </c>
      <c r="E446" s="1" t="str">
        <f>'Raw Tickets'!$E$446</f>
        <v>Account Issue</v>
      </c>
      <c r="F446" s="1" t="str">
        <f>'Raw Tickets'!$F$446</f>
        <v>Critical</v>
      </c>
      <c r="G446" s="1">
        <f>'Raw Tickets'!$G$446</f>
        <v>2.4</v>
      </c>
      <c r="H446" s="1">
        <f>'Raw Tickets'!$H$446</f>
        <v>24</v>
      </c>
      <c r="I446" s="1">
        <f>'Raw Tickets'!$I$446</f>
        <v>4</v>
      </c>
      <c r="J446" s="6">
        <f>'Raw Tickets'!$J$446</f>
        <v>97.3</v>
      </c>
      <c r="K446" s="1" t="str">
        <f>'Raw Tickets'!$K$446</f>
        <v>Closed</v>
      </c>
      <c r="L446" s="1" t="str">
        <f>'Raw Tickets'!$L$446</f>
        <v>No</v>
      </c>
      <c r="M446" s="1" t="str">
        <f>'Raw Tickets'!$M$446</f>
        <v>Yes</v>
      </c>
      <c r="N446" s="1" t="str">
        <f>IFERROR(VLOOKUP(C446,Agents!$A$2:$E$26,2,FALSE),"")</f>
        <v>Divya Shah</v>
      </c>
      <c r="O446" s="1" t="str">
        <f>IFERROR(INDEX(Agents!$D$2:$D$26,MATCH(C446,Agents!$A$2:$A$26,0)),"")</f>
        <v>Voice Support</v>
      </c>
      <c r="P446" s="1" t="str">
        <f>IFERROR(VLOOKUP(C446,Agents!$A$2:$E$26,3,FALSE),"")</f>
        <v>Kritika Shah</v>
      </c>
      <c r="Q446" s="1" t="str">
        <f>IFERROR(VLOOKUP(C446,Agents!$A$2:$E$26,5,FALSE),"")</f>
        <v>Gurugram</v>
      </c>
      <c r="R446" s="1">
        <f>IFERROR(VLOOKUP(F446,#REF!,2,FALSE),0)</f>
        <v>0</v>
      </c>
      <c r="S446" s="1" t="str">
        <f t="shared" si="36"/>
        <v>Breached</v>
      </c>
      <c r="T446" s="1" t="str">
        <f t="shared" si="37"/>
        <v>Within Target</v>
      </c>
      <c r="U446" s="1" t="str">
        <f t="shared" si="38"/>
        <v>2025-01</v>
      </c>
      <c r="V446" s="1" t="str">
        <f t="shared" si="39"/>
        <v>Good</v>
      </c>
      <c r="W446" s="1" t="str">
        <f t="shared" si="40"/>
        <v>Pass</v>
      </c>
      <c r="X446" s="1" t="str">
        <f t="shared" si="41"/>
        <v>Unique</v>
      </c>
    </row>
    <row r="447" spans="1:24" ht="15" customHeight="1">
      <c r="A447" s="1" t="str">
        <f>'Raw Tickets'!$A$447</f>
        <v>T00446</v>
      </c>
      <c r="B447" s="4">
        <f>'Raw Tickets'!$B$447</f>
        <v>45887</v>
      </c>
      <c r="C447" s="1" t="str">
        <f>'Raw Tickets'!$C$447</f>
        <v>A006</v>
      </c>
      <c r="D447" s="1" t="str">
        <f>'Raw Tickets'!$D$447</f>
        <v>Chat</v>
      </c>
      <c r="E447" s="1" t="str">
        <f>'Raw Tickets'!$E$447</f>
        <v>Account Issue</v>
      </c>
      <c r="F447" s="1" t="str">
        <f>'Raw Tickets'!$F$447</f>
        <v>High</v>
      </c>
      <c r="G447" s="1">
        <f>'Raw Tickets'!$G$447</f>
        <v>7.9</v>
      </c>
      <c r="H447" s="1">
        <f>'Raw Tickets'!$H$447</f>
        <v>59</v>
      </c>
      <c r="I447" s="1">
        <f>'Raw Tickets'!$I$447</f>
        <v>4</v>
      </c>
      <c r="J447" s="6">
        <f>'Raw Tickets'!$J$447</f>
        <v>77.599999999999994</v>
      </c>
      <c r="K447" s="1" t="str">
        <f>'Raw Tickets'!$K$447</f>
        <v>Closed</v>
      </c>
      <c r="L447" s="1" t="str">
        <f>'Raw Tickets'!$L$447</f>
        <v>No</v>
      </c>
      <c r="M447" s="1" t="str">
        <f>'Raw Tickets'!$M$447</f>
        <v>No</v>
      </c>
      <c r="N447" s="1" t="str">
        <f>IFERROR(VLOOKUP(C447,Agents!$A$2:$E$26,2,FALSE),"")</f>
        <v>Divya Shah</v>
      </c>
      <c r="O447" s="1" t="str">
        <f>IFERROR(INDEX(Agents!$D$2:$D$26,MATCH(C447,Agents!$A$2:$A$26,0)),"")</f>
        <v>Voice Support</v>
      </c>
      <c r="P447" s="1" t="str">
        <f>IFERROR(VLOOKUP(C447,Agents!$A$2:$E$26,3,FALSE),"")</f>
        <v>Kritika Shah</v>
      </c>
      <c r="Q447" s="1" t="str">
        <f>IFERROR(VLOOKUP(C447,Agents!$A$2:$E$26,5,FALSE),"")</f>
        <v>Gurugram</v>
      </c>
      <c r="R447" s="1">
        <f>IFERROR(VLOOKUP(F447,#REF!,2,FALSE),0)</f>
        <v>0</v>
      </c>
      <c r="S447" s="1" t="str">
        <f t="shared" si="36"/>
        <v>Breached</v>
      </c>
      <c r="T447" s="1" t="str">
        <f t="shared" si="37"/>
        <v>Late</v>
      </c>
      <c r="U447" s="1" t="str">
        <f t="shared" si="38"/>
        <v>2025-08</v>
      </c>
      <c r="V447" s="1" t="str">
        <f t="shared" si="39"/>
        <v>Good</v>
      </c>
      <c r="W447" s="1" t="str">
        <f t="shared" si="40"/>
        <v>Needs Coaching</v>
      </c>
      <c r="X447" s="1" t="str">
        <f t="shared" si="41"/>
        <v>Unique</v>
      </c>
    </row>
    <row r="448" spans="1:24" ht="15" customHeight="1">
      <c r="A448" s="1" t="str">
        <f>'Raw Tickets'!$A$448</f>
        <v>T00447</v>
      </c>
      <c r="B448" s="4">
        <f>'Raw Tickets'!$B$448</f>
        <v>45982</v>
      </c>
      <c r="C448" s="1" t="str">
        <f>'Raw Tickets'!$C$448</f>
        <v>A006</v>
      </c>
      <c r="D448" s="1" t="str">
        <f>'Raw Tickets'!$D$448</f>
        <v>Email</v>
      </c>
      <c r="E448" s="1" t="str">
        <f>'Raw Tickets'!$E$448</f>
        <v>Product Quality</v>
      </c>
      <c r="F448" s="1" t="str">
        <f>'Raw Tickets'!$F$448</f>
        <v>Medium</v>
      </c>
      <c r="G448" s="1">
        <f>'Raw Tickets'!$G$448</f>
        <v>14.9</v>
      </c>
      <c r="H448" s="1">
        <f>'Raw Tickets'!$H$448</f>
        <v>41</v>
      </c>
      <c r="I448" s="1">
        <f>'Raw Tickets'!$I$448</f>
        <v>5</v>
      </c>
      <c r="J448" s="6">
        <f>'Raw Tickets'!$J$448</f>
        <v>74</v>
      </c>
      <c r="K448" s="1" t="str">
        <f>'Raw Tickets'!$K$448</f>
        <v>Closed</v>
      </c>
      <c r="L448" s="1" t="str">
        <f>'Raw Tickets'!$L$448</f>
        <v>No</v>
      </c>
      <c r="M448" s="1" t="str">
        <f>'Raw Tickets'!$M$448</f>
        <v>No</v>
      </c>
      <c r="N448" s="1" t="str">
        <f>IFERROR(VLOOKUP(C448,Agents!$A$2:$E$26,2,FALSE),"")</f>
        <v>Divya Shah</v>
      </c>
      <c r="O448" s="1" t="str">
        <f>IFERROR(INDEX(Agents!$D$2:$D$26,MATCH(C448,Agents!$A$2:$A$26,0)),"")</f>
        <v>Voice Support</v>
      </c>
      <c r="P448" s="1" t="str">
        <f>IFERROR(VLOOKUP(C448,Agents!$A$2:$E$26,3,FALSE),"")</f>
        <v>Kritika Shah</v>
      </c>
      <c r="Q448" s="1" t="str">
        <f>IFERROR(VLOOKUP(C448,Agents!$A$2:$E$26,5,FALSE),"")</f>
        <v>Gurugram</v>
      </c>
      <c r="R448" s="1">
        <f>IFERROR(VLOOKUP(F448,#REF!,2,FALSE),0)</f>
        <v>0</v>
      </c>
      <c r="S448" s="1" t="str">
        <f t="shared" si="36"/>
        <v>Breached</v>
      </c>
      <c r="T448" s="1" t="str">
        <f t="shared" si="37"/>
        <v>Late</v>
      </c>
      <c r="U448" s="1" t="str">
        <f t="shared" si="38"/>
        <v>2025-11</v>
      </c>
      <c r="V448" s="1" t="str">
        <f t="shared" si="39"/>
        <v>Good</v>
      </c>
      <c r="W448" s="1" t="str">
        <f t="shared" si="40"/>
        <v>Needs Coaching</v>
      </c>
      <c r="X448" s="1" t="str">
        <f t="shared" si="41"/>
        <v>Unique</v>
      </c>
    </row>
    <row r="449" spans="1:24" ht="15" customHeight="1">
      <c r="A449" s="1" t="str">
        <f>'Raw Tickets'!$A$449</f>
        <v>T00448</v>
      </c>
      <c r="B449" s="4">
        <f>'Raw Tickets'!$B$449</f>
        <v>45846</v>
      </c>
      <c r="C449" s="1" t="str">
        <f>'Raw Tickets'!$C$449</f>
        <v>A017</v>
      </c>
      <c r="D449" s="1" t="str">
        <f>'Raw Tickets'!$D$449</f>
        <v>Chat</v>
      </c>
      <c r="E449" s="1" t="str">
        <f>'Raw Tickets'!$E$449</f>
        <v>Payment Failure</v>
      </c>
      <c r="F449" s="1" t="str">
        <f>'Raw Tickets'!$F$449</f>
        <v>Medium</v>
      </c>
      <c r="G449" s="1">
        <f>'Raw Tickets'!$G$449</f>
        <v>7.4</v>
      </c>
      <c r="H449" s="1">
        <f>'Raw Tickets'!$H$449</f>
        <v>48</v>
      </c>
      <c r="I449" s="1">
        <f>'Raw Tickets'!$I$449</f>
        <v>4</v>
      </c>
      <c r="J449" s="6">
        <f>'Raw Tickets'!$J$449</f>
        <v>97.2</v>
      </c>
      <c r="K449" s="1" t="str">
        <f>'Raw Tickets'!$K$449</f>
        <v>Closed</v>
      </c>
      <c r="L449" s="1" t="str">
        <f>'Raw Tickets'!$L$449</f>
        <v>No</v>
      </c>
      <c r="M449" s="1" t="str">
        <f>'Raw Tickets'!$M$449</f>
        <v>Yes</v>
      </c>
      <c r="N449" s="1" t="str">
        <f>IFERROR(VLOOKUP(C449,Agents!$A$2:$E$26,2,FALSE),"")</f>
        <v>Varun Mehta</v>
      </c>
      <c r="O449" s="1" t="str">
        <f>IFERROR(INDEX(Agents!$D$2:$D$26,MATCH(C449,Agents!$A$2:$A$26,0)),"")</f>
        <v>Escalations</v>
      </c>
      <c r="P449" s="1" t="str">
        <f>IFERROR(VLOOKUP(C449,Agents!$A$2:$E$26,3,FALSE),"")</f>
        <v>Pallavi Rao</v>
      </c>
      <c r="Q449" s="1" t="str">
        <f>IFERROR(VLOOKUP(C449,Agents!$A$2:$E$26,5,FALSE),"")</f>
        <v>Gurugram</v>
      </c>
      <c r="R449" s="1">
        <f>IFERROR(VLOOKUP(F449,#REF!,2,FALSE),0)</f>
        <v>0</v>
      </c>
      <c r="S449" s="1" t="str">
        <f t="shared" si="36"/>
        <v>Breached</v>
      </c>
      <c r="T449" s="1" t="str">
        <f t="shared" si="37"/>
        <v>Late</v>
      </c>
      <c r="U449" s="1" t="str">
        <f t="shared" si="38"/>
        <v>2025-07</v>
      </c>
      <c r="V449" s="1" t="str">
        <f t="shared" si="39"/>
        <v>Good</v>
      </c>
      <c r="W449" s="1" t="str">
        <f t="shared" si="40"/>
        <v>Pass</v>
      </c>
      <c r="X449" s="1" t="str">
        <f t="shared" si="41"/>
        <v>Unique</v>
      </c>
    </row>
    <row r="450" spans="1:24" ht="15" customHeight="1">
      <c r="A450" s="1" t="str">
        <f>'Raw Tickets'!$A$450</f>
        <v>T00449</v>
      </c>
      <c r="B450" s="4">
        <f>'Raw Tickets'!$B$450</f>
        <v>45990</v>
      </c>
      <c r="C450" s="1" t="str">
        <f>'Raw Tickets'!$C$450</f>
        <v>A014</v>
      </c>
      <c r="D450" s="1" t="str">
        <f>'Raw Tickets'!$D$450</f>
        <v>Chat</v>
      </c>
      <c r="E450" s="1" t="str">
        <f>'Raw Tickets'!$E$450</f>
        <v>Refund</v>
      </c>
      <c r="F450" s="1" t="str">
        <f>'Raw Tickets'!$F$450</f>
        <v>Medium</v>
      </c>
      <c r="G450" s="1">
        <f>'Raw Tickets'!$G$450</f>
        <v>22.7</v>
      </c>
      <c r="H450" s="1">
        <f>'Raw Tickets'!$H$450</f>
        <v>32</v>
      </c>
      <c r="I450" s="1">
        <f>'Raw Tickets'!$I$450</f>
        <v>5</v>
      </c>
      <c r="J450" s="6">
        <f>'Raw Tickets'!$J$450</f>
        <v>97</v>
      </c>
      <c r="K450" s="1" t="str">
        <f>'Raw Tickets'!$K$450</f>
        <v>Closed</v>
      </c>
      <c r="L450" s="1" t="str">
        <f>'Raw Tickets'!$L$450</f>
        <v>No</v>
      </c>
      <c r="M450" s="1" t="str">
        <f>'Raw Tickets'!$M$450</f>
        <v>No</v>
      </c>
      <c r="N450" s="1" t="str">
        <f>IFERROR(VLOOKUP(C450,Agents!$A$2:$E$26,2,FALSE),"")</f>
        <v>Ananya Jain</v>
      </c>
      <c r="O450" s="1" t="str">
        <f>IFERROR(INDEX(Agents!$D$2:$D$26,MATCH(C450,Agents!$A$2:$A$26,0)),"")</f>
        <v>Chat Support</v>
      </c>
      <c r="P450" s="1" t="str">
        <f>IFERROR(VLOOKUP(C450,Agents!$A$2:$E$26,3,FALSE),"")</f>
        <v>Nitin Gupta</v>
      </c>
      <c r="Q450" s="1" t="str">
        <f>IFERROR(VLOOKUP(C450,Agents!$A$2:$E$26,5,FALSE),"")</f>
        <v>Bengaluru</v>
      </c>
      <c r="R450" s="1">
        <f>IFERROR(VLOOKUP(F450,#REF!,2,FALSE),0)</f>
        <v>0</v>
      </c>
      <c r="S450" s="1" t="str">
        <f t="shared" ref="S450:S513" si="42">IF(G450&lt;=R450,"Met","Breached")</f>
        <v>Breached</v>
      </c>
      <c r="T450" s="1" t="str">
        <f t="shared" ref="T450:T501" si="43">IF(H450&lt;=30,"Within Target","Late")</f>
        <v>Late</v>
      </c>
      <c r="U450" s="1" t="str">
        <f t="shared" ref="U450:U501" si="44">TEXT(B450,"yyyy-mm")</f>
        <v>2025-11</v>
      </c>
      <c r="V450" s="1" t="str">
        <f t="shared" ref="V450:V501" si="45">IF(I450&gt;=4,"Good",IF(I450=3,"Average","Poor"))</f>
        <v>Good</v>
      </c>
      <c r="W450" s="1" t="str">
        <f t="shared" ref="W450:W501" si="46">IF(J450&gt;=85,"Pass","Needs Coaching")</f>
        <v>Pass</v>
      </c>
      <c r="X450" s="1" t="str">
        <f t="shared" ref="X450:X501" si="47">IF(COUNTIF($A$2:$A$501,A450)&gt;1,"Duplicate","Unique")</f>
        <v>Unique</v>
      </c>
    </row>
    <row r="451" spans="1:24" ht="15" customHeight="1">
      <c r="A451" s="1" t="str">
        <f>'Raw Tickets'!$A$451</f>
        <v>T00450</v>
      </c>
      <c r="B451" s="4">
        <f>'Raw Tickets'!$B$451</f>
        <v>45982</v>
      </c>
      <c r="C451" s="1" t="str">
        <f>'Raw Tickets'!$C$451</f>
        <v>A006</v>
      </c>
      <c r="D451" s="1" t="str">
        <f>'Raw Tickets'!$D$451</f>
        <v>Call</v>
      </c>
      <c r="E451" s="1" t="str">
        <f>'Raw Tickets'!$E$451</f>
        <v>Refund</v>
      </c>
      <c r="F451" s="1" t="str">
        <f>'Raw Tickets'!$F$451</f>
        <v>Low</v>
      </c>
      <c r="G451" s="1">
        <f>'Raw Tickets'!$G$451</f>
        <v>32.299999999999997</v>
      </c>
      <c r="H451" s="1">
        <f>'Raw Tickets'!$H$451</f>
        <v>35</v>
      </c>
      <c r="I451" s="1">
        <f>'Raw Tickets'!$I$451</f>
        <v>4</v>
      </c>
      <c r="J451" s="6">
        <f>'Raw Tickets'!$J$451</f>
        <v>94.1</v>
      </c>
      <c r="K451" s="1" t="str">
        <f>'Raw Tickets'!$K$451</f>
        <v>Closed</v>
      </c>
      <c r="L451" s="1" t="str">
        <f>'Raw Tickets'!$L$451</f>
        <v>No</v>
      </c>
      <c r="M451" s="1" t="str">
        <f>'Raw Tickets'!$M$451</f>
        <v>No</v>
      </c>
      <c r="N451" s="1" t="str">
        <f>IFERROR(VLOOKUP(C451,Agents!$A$2:$E$26,2,FALSE),"")</f>
        <v>Divya Shah</v>
      </c>
      <c r="O451" s="1" t="str">
        <f>IFERROR(INDEX(Agents!$D$2:$D$26,MATCH(C451,Agents!$A$2:$A$26,0)),"")</f>
        <v>Voice Support</v>
      </c>
      <c r="P451" s="1" t="str">
        <f>IFERROR(VLOOKUP(C451,Agents!$A$2:$E$26,3,FALSE),"")</f>
        <v>Kritika Shah</v>
      </c>
      <c r="Q451" s="1" t="str">
        <f>IFERROR(VLOOKUP(C451,Agents!$A$2:$E$26,5,FALSE),"")</f>
        <v>Gurugram</v>
      </c>
      <c r="R451" s="1">
        <f>IFERROR(VLOOKUP(F451,#REF!,2,FALSE),0)</f>
        <v>0</v>
      </c>
      <c r="S451" s="1" t="str">
        <f t="shared" si="42"/>
        <v>Breached</v>
      </c>
      <c r="T451" s="1" t="str">
        <f t="shared" si="43"/>
        <v>Late</v>
      </c>
      <c r="U451" s="1" t="str">
        <f t="shared" si="44"/>
        <v>2025-11</v>
      </c>
      <c r="V451" s="1" t="str">
        <f t="shared" si="45"/>
        <v>Good</v>
      </c>
      <c r="W451" s="1" t="str">
        <f t="shared" si="46"/>
        <v>Pass</v>
      </c>
      <c r="X451" s="1" t="str">
        <f t="shared" si="47"/>
        <v>Unique</v>
      </c>
    </row>
    <row r="452" spans="1:24" ht="15" customHeight="1">
      <c r="A452" s="1" t="str">
        <f>'Raw Tickets'!$A$452</f>
        <v>T00451</v>
      </c>
      <c r="B452" s="4">
        <f>'Raw Tickets'!$B$452</f>
        <v>45700</v>
      </c>
      <c r="C452" s="1" t="str">
        <f>'Raw Tickets'!$C$452</f>
        <v>A023</v>
      </c>
      <c r="D452" s="1" t="str">
        <f>'Raw Tickets'!$D$452</f>
        <v>Call</v>
      </c>
      <c r="E452" s="1" t="str">
        <f>'Raw Tickets'!$E$452</f>
        <v>Order Cancellation</v>
      </c>
      <c r="F452" s="1" t="str">
        <f>'Raw Tickets'!$F$452</f>
        <v>Medium</v>
      </c>
      <c r="G452" s="1">
        <f>'Raw Tickets'!$G$452</f>
        <v>31.7</v>
      </c>
      <c r="H452" s="1">
        <f>'Raw Tickets'!$H$452</f>
        <v>1</v>
      </c>
      <c r="I452" s="1">
        <f>'Raw Tickets'!$I$452</f>
        <v>5</v>
      </c>
      <c r="J452" s="6">
        <f>'Raw Tickets'!$J$452</f>
        <v>86.3</v>
      </c>
      <c r="K452" s="1" t="str">
        <f>'Raw Tickets'!$K$452</f>
        <v>Closed</v>
      </c>
      <c r="L452" s="1" t="str">
        <f>'Raw Tickets'!$L$452</f>
        <v>No</v>
      </c>
      <c r="M452" s="1" t="str">
        <f>'Raw Tickets'!$M$452</f>
        <v>No</v>
      </c>
      <c r="N452" s="1" t="str">
        <f>IFERROR(VLOOKUP(C452,Agents!$A$2:$E$26,2,FALSE),"")</f>
        <v>Ishita Verma</v>
      </c>
      <c r="O452" s="1" t="str">
        <f>IFERROR(INDEX(Agents!$D$2:$D$26,MATCH(C452,Agents!$A$2:$A$26,0)),"")</f>
        <v>Seller Support</v>
      </c>
      <c r="P452" s="1" t="str">
        <f>IFERROR(VLOOKUP(C452,Agents!$A$2:$E$26,3,FALSE),"")</f>
        <v>Vivek Jain</v>
      </c>
      <c r="Q452" s="1" t="str">
        <f>IFERROR(VLOOKUP(C452,Agents!$A$2:$E$26,5,FALSE),"")</f>
        <v>Noida</v>
      </c>
      <c r="R452" s="1">
        <f>IFERROR(VLOOKUP(F452,#REF!,2,FALSE),0)</f>
        <v>0</v>
      </c>
      <c r="S452" s="1" t="str">
        <f t="shared" si="42"/>
        <v>Breached</v>
      </c>
      <c r="T452" s="1" t="str">
        <f t="shared" si="43"/>
        <v>Within Target</v>
      </c>
      <c r="U452" s="1" t="str">
        <f t="shared" si="44"/>
        <v>2025-02</v>
      </c>
      <c r="V452" s="1" t="str">
        <f t="shared" si="45"/>
        <v>Good</v>
      </c>
      <c r="W452" s="1" t="str">
        <f t="shared" si="46"/>
        <v>Pass</v>
      </c>
      <c r="X452" s="1" t="str">
        <f t="shared" si="47"/>
        <v>Unique</v>
      </c>
    </row>
    <row r="453" spans="1:24" ht="15" customHeight="1">
      <c r="A453" s="1" t="str">
        <f>'Raw Tickets'!$A$453</f>
        <v>T00452</v>
      </c>
      <c r="B453" s="4">
        <f>'Raw Tickets'!$B$453</f>
        <v>45822</v>
      </c>
      <c r="C453" s="1" t="str">
        <f>'Raw Tickets'!$C$453</f>
        <v>A015</v>
      </c>
      <c r="D453" s="1" t="str">
        <f>'Raw Tickets'!$D$453</f>
        <v>Chat</v>
      </c>
      <c r="E453" s="1" t="str">
        <f>'Raw Tickets'!$E$453</f>
        <v>Payment Failure</v>
      </c>
      <c r="F453" s="1" t="str">
        <f>'Raw Tickets'!$F$453</f>
        <v>Low</v>
      </c>
      <c r="G453" s="1">
        <f>'Raw Tickets'!$G$453</f>
        <v>32.5</v>
      </c>
      <c r="H453" s="1">
        <f>'Raw Tickets'!$H$453</f>
        <v>45</v>
      </c>
      <c r="I453" s="1">
        <f>'Raw Tickets'!$I$453</f>
        <v>5</v>
      </c>
      <c r="J453" s="6">
        <f>'Raw Tickets'!$J$453</f>
        <v>92.8</v>
      </c>
      <c r="K453" s="1" t="str">
        <f>'Raw Tickets'!$K$453</f>
        <v>Closed</v>
      </c>
      <c r="L453" s="1" t="str">
        <f>'Raw Tickets'!$L$453</f>
        <v>No</v>
      </c>
      <c r="M453" s="1" t="str">
        <f>'Raw Tickets'!$M$453</f>
        <v>No</v>
      </c>
      <c r="N453" s="1" t="str">
        <f>IFERROR(VLOOKUP(C453,Agents!$A$2:$E$26,2,FALSE),"")</f>
        <v>Neha Jain</v>
      </c>
      <c r="O453" s="1" t="str">
        <f>IFERROR(INDEX(Agents!$D$2:$D$26,MATCH(C453,Agents!$A$2:$A$26,0)),"")</f>
        <v>Chat Support</v>
      </c>
      <c r="P453" s="1" t="str">
        <f>IFERROR(VLOOKUP(C453,Agents!$A$2:$E$26,3,FALSE),"")</f>
        <v>Nitin Gupta</v>
      </c>
      <c r="Q453" s="1" t="str">
        <f>IFERROR(VLOOKUP(C453,Agents!$A$2:$E$26,5,FALSE),"")</f>
        <v>Bengaluru</v>
      </c>
      <c r="R453" s="1">
        <f>IFERROR(VLOOKUP(F453,#REF!,2,FALSE),0)</f>
        <v>0</v>
      </c>
      <c r="S453" s="1" t="str">
        <f t="shared" si="42"/>
        <v>Breached</v>
      </c>
      <c r="T453" s="1" t="str">
        <f t="shared" si="43"/>
        <v>Late</v>
      </c>
      <c r="U453" s="1" t="str">
        <f t="shared" si="44"/>
        <v>2025-06</v>
      </c>
      <c r="V453" s="1" t="str">
        <f t="shared" si="45"/>
        <v>Good</v>
      </c>
      <c r="W453" s="1" t="str">
        <f t="shared" si="46"/>
        <v>Pass</v>
      </c>
      <c r="X453" s="1" t="str">
        <f t="shared" si="47"/>
        <v>Unique</v>
      </c>
    </row>
    <row r="454" spans="1:24" ht="15" customHeight="1">
      <c r="A454" s="1" t="str">
        <f>'Raw Tickets'!$A$454</f>
        <v>T00453</v>
      </c>
      <c r="B454" s="4">
        <f>'Raw Tickets'!$B$454</f>
        <v>45920</v>
      </c>
      <c r="C454" s="1" t="str">
        <f>'Raw Tickets'!$C$454</f>
        <v>A006</v>
      </c>
      <c r="D454" s="1" t="str">
        <f>'Raw Tickets'!$D$454</f>
        <v>Call</v>
      </c>
      <c r="E454" s="1" t="str">
        <f>'Raw Tickets'!$E$454</f>
        <v>Account Issue</v>
      </c>
      <c r="F454" s="1" t="str">
        <f>'Raw Tickets'!$F$454</f>
        <v>Medium</v>
      </c>
      <c r="G454" s="1">
        <f>'Raw Tickets'!$G$454</f>
        <v>4.3</v>
      </c>
      <c r="H454" s="1">
        <f>'Raw Tickets'!$H$454</f>
        <v>54</v>
      </c>
      <c r="I454" s="1">
        <f>'Raw Tickets'!$I$454</f>
        <v>5</v>
      </c>
      <c r="J454" s="6">
        <f>'Raw Tickets'!$J$454</f>
        <v>100</v>
      </c>
      <c r="K454" s="1" t="str">
        <f>'Raw Tickets'!$K$454</f>
        <v>Closed</v>
      </c>
      <c r="L454" s="1" t="str">
        <f>'Raw Tickets'!$L$454</f>
        <v>No</v>
      </c>
      <c r="M454" s="1" t="str">
        <f>'Raw Tickets'!$M$454</f>
        <v>No</v>
      </c>
      <c r="N454" s="1" t="str">
        <f>IFERROR(VLOOKUP(C454,Agents!$A$2:$E$26,2,FALSE),"")</f>
        <v>Divya Shah</v>
      </c>
      <c r="O454" s="1" t="str">
        <f>IFERROR(INDEX(Agents!$D$2:$D$26,MATCH(C454,Agents!$A$2:$A$26,0)),"")</f>
        <v>Voice Support</v>
      </c>
      <c r="P454" s="1" t="str">
        <f>IFERROR(VLOOKUP(C454,Agents!$A$2:$E$26,3,FALSE),"")</f>
        <v>Kritika Shah</v>
      </c>
      <c r="Q454" s="1" t="str">
        <f>IFERROR(VLOOKUP(C454,Agents!$A$2:$E$26,5,FALSE),"")</f>
        <v>Gurugram</v>
      </c>
      <c r="R454" s="1">
        <f>IFERROR(VLOOKUP(F454,#REF!,2,FALSE),0)</f>
        <v>0</v>
      </c>
      <c r="S454" s="1" t="str">
        <f t="shared" si="42"/>
        <v>Breached</v>
      </c>
      <c r="T454" s="1" t="str">
        <f t="shared" si="43"/>
        <v>Late</v>
      </c>
      <c r="U454" s="1" t="str">
        <f t="shared" si="44"/>
        <v>2025-09</v>
      </c>
      <c r="V454" s="1" t="str">
        <f t="shared" si="45"/>
        <v>Good</v>
      </c>
      <c r="W454" s="1" t="str">
        <f t="shared" si="46"/>
        <v>Pass</v>
      </c>
      <c r="X454" s="1" t="str">
        <f t="shared" si="47"/>
        <v>Unique</v>
      </c>
    </row>
    <row r="455" spans="1:24" ht="15" customHeight="1">
      <c r="A455" s="1" t="str">
        <f>'Raw Tickets'!$A$455</f>
        <v>T00454</v>
      </c>
      <c r="B455" s="4">
        <f>'Raw Tickets'!$B$455</f>
        <v>45785</v>
      </c>
      <c r="C455" s="1" t="str">
        <f>'Raw Tickets'!$C$455</f>
        <v>A010</v>
      </c>
      <c r="D455" s="1" t="str">
        <f>'Raw Tickets'!$D$455</f>
        <v>Email</v>
      </c>
      <c r="E455" s="1" t="str">
        <f>'Raw Tickets'!$E$455</f>
        <v>Account Issue</v>
      </c>
      <c r="F455" s="1" t="str">
        <f>'Raw Tickets'!$F$455</f>
        <v>High</v>
      </c>
      <c r="G455" s="1">
        <f>'Raw Tickets'!$G$455</f>
        <v>18.100000000000001</v>
      </c>
      <c r="H455" s="1">
        <f>'Raw Tickets'!$H$455</f>
        <v>29</v>
      </c>
      <c r="I455" s="1">
        <f>'Raw Tickets'!$I$455</f>
        <v>4</v>
      </c>
      <c r="J455" s="6">
        <f>'Raw Tickets'!$J$455</f>
        <v>76.900000000000006</v>
      </c>
      <c r="K455" s="1" t="str">
        <f>'Raw Tickets'!$K$455</f>
        <v>Closed</v>
      </c>
      <c r="L455" s="1" t="str">
        <f>'Raw Tickets'!$L$455</f>
        <v>No</v>
      </c>
      <c r="M455" s="1" t="str">
        <f>'Raw Tickets'!$M$455</f>
        <v>No</v>
      </c>
      <c r="N455" s="1" t="str">
        <f>IFERROR(VLOOKUP(C455,Agents!$A$2:$E$26,2,FALSE),"")</f>
        <v>Ananya Gupta</v>
      </c>
      <c r="O455" s="1" t="str">
        <f>IFERROR(INDEX(Agents!$D$2:$D$26,MATCH(C455,Agents!$A$2:$A$26,0)),"")</f>
        <v>Voice Support</v>
      </c>
      <c r="P455" s="1" t="str">
        <f>IFERROR(VLOOKUP(C455,Agents!$A$2:$E$26,3,FALSE),"")</f>
        <v>Kritika Shah</v>
      </c>
      <c r="Q455" s="1" t="str">
        <f>IFERROR(VLOOKUP(C455,Agents!$A$2:$E$26,5,FALSE),"")</f>
        <v>Gurugram</v>
      </c>
      <c r="R455" s="1">
        <f>IFERROR(VLOOKUP(F455,#REF!,2,FALSE),0)</f>
        <v>0</v>
      </c>
      <c r="S455" s="1" t="str">
        <f t="shared" si="42"/>
        <v>Breached</v>
      </c>
      <c r="T455" s="1" t="str">
        <f t="shared" si="43"/>
        <v>Within Target</v>
      </c>
      <c r="U455" s="1" t="str">
        <f t="shared" si="44"/>
        <v>2025-05</v>
      </c>
      <c r="V455" s="1" t="str">
        <f t="shared" si="45"/>
        <v>Good</v>
      </c>
      <c r="W455" s="1" t="str">
        <f t="shared" si="46"/>
        <v>Needs Coaching</v>
      </c>
      <c r="X455" s="1" t="str">
        <f t="shared" si="47"/>
        <v>Unique</v>
      </c>
    </row>
    <row r="456" spans="1:24" ht="15" customHeight="1">
      <c r="A456" s="1" t="str">
        <f>'Raw Tickets'!$A$456</f>
        <v>T00455</v>
      </c>
      <c r="B456" s="4">
        <f>'Raw Tickets'!$B$456</f>
        <v>45671</v>
      </c>
      <c r="C456" s="1" t="str">
        <f>'Raw Tickets'!$C$456</f>
        <v>A004</v>
      </c>
      <c r="D456" s="1" t="str">
        <f>'Raw Tickets'!$D$456</f>
        <v>Chat</v>
      </c>
      <c r="E456" s="1" t="str">
        <f>'Raw Tickets'!$E$456</f>
        <v>Payment Failure</v>
      </c>
      <c r="F456" s="1" t="str">
        <f>'Raw Tickets'!$F$456</f>
        <v>Low</v>
      </c>
      <c r="G456" s="1">
        <f>'Raw Tickets'!$G$456</f>
        <v>17.2</v>
      </c>
      <c r="H456" s="1">
        <f>'Raw Tickets'!$H$456</f>
        <v>41</v>
      </c>
      <c r="I456" s="1">
        <f>'Raw Tickets'!$I$456</f>
        <v>3</v>
      </c>
      <c r="J456" s="6">
        <f>'Raw Tickets'!$J$456</f>
        <v>82.4</v>
      </c>
      <c r="K456" s="1" t="str">
        <f>'Raw Tickets'!$K$456</f>
        <v>Closed</v>
      </c>
      <c r="L456" s="1" t="str">
        <f>'Raw Tickets'!$L$456</f>
        <v>No</v>
      </c>
      <c r="M456" s="1" t="str">
        <f>'Raw Tickets'!$M$456</f>
        <v>No</v>
      </c>
      <c r="N456" s="1" t="str">
        <f>IFERROR(VLOOKUP(C456,Agents!$A$2:$E$26,2,FALSE),"")</f>
        <v>Arjun Agarwal</v>
      </c>
      <c r="O456" s="1" t="str">
        <f>IFERROR(INDEX(Agents!$D$2:$D$26,MATCH(C456,Agents!$A$2:$A$26,0)),"")</f>
        <v>Email Support</v>
      </c>
      <c r="P456" s="1" t="str">
        <f>IFERROR(VLOOKUP(C456,Agents!$A$2:$E$26,3,FALSE),"")</f>
        <v>Aman Verma</v>
      </c>
      <c r="Q456" s="1" t="str">
        <f>IFERROR(VLOOKUP(C456,Agents!$A$2:$E$26,5,FALSE),"")</f>
        <v>Bengaluru</v>
      </c>
      <c r="R456" s="1">
        <f>IFERROR(VLOOKUP(F456,#REF!,2,FALSE),0)</f>
        <v>0</v>
      </c>
      <c r="S456" s="1" t="str">
        <f t="shared" si="42"/>
        <v>Breached</v>
      </c>
      <c r="T456" s="1" t="str">
        <f t="shared" si="43"/>
        <v>Late</v>
      </c>
      <c r="U456" s="1" t="str">
        <f t="shared" si="44"/>
        <v>2025-01</v>
      </c>
      <c r="V456" s="1" t="str">
        <f t="shared" si="45"/>
        <v>Average</v>
      </c>
      <c r="W456" s="1" t="str">
        <f t="shared" si="46"/>
        <v>Needs Coaching</v>
      </c>
      <c r="X456" s="1" t="str">
        <f t="shared" si="47"/>
        <v>Unique</v>
      </c>
    </row>
    <row r="457" spans="1:24" ht="15" customHeight="1">
      <c r="A457" s="1" t="str">
        <f>'Raw Tickets'!$A$457</f>
        <v>T00456</v>
      </c>
      <c r="B457" s="4">
        <f>'Raw Tickets'!$B$457</f>
        <v>46013</v>
      </c>
      <c r="C457" s="1" t="str">
        <f>'Raw Tickets'!$C$457</f>
        <v>A006</v>
      </c>
      <c r="D457" s="1" t="str">
        <f>'Raw Tickets'!$D$457</f>
        <v>Call</v>
      </c>
      <c r="E457" s="1" t="str">
        <f>'Raw Tickets'!$E$457</f>
        <v>Delivery Delay</v>
      </c>
      <c r="F457" s="1" t="str">
        <f>'Raw Tickets'!$F$457</f>
        <v>Low</v>
      </c>
      <c r="G457" s="1">
        <f>'Raw Tickets'!$G$457</f>
        <v>74.400000000000006</v>
      </c>
      <c r="H457" s="1">
        <f>'Raw Tickets'!$H$457</f>
        <v>52</v>
      </c>
      <c r="I457" s="1">
        <f>'Raw Tickets'!$I$457</f>
        <v>5</v>
      </c>
      <c r="J457" s="6">
        <f>'Raw Tickets'!$J$457</f>
        <v>86.6</v>
      </c>
      <c r="K457" s="1" t="str">
        <f>'Raw Tickets'!$K$457</f>
        <v>Closed</v>
      </c>
      <c r="L457" s="1" t="str">
        <f>'Raw Tickets'!$L$457</f>
        <v>No</v>
      </c>
      <c r="M457" s="1" t="str">
        <f>'Raw Tickets'!$M$457</f>
        <v>No</v>
      </c>
      <c r="N457" s="1" t="str">
        <f>IFERROR(VLOOKUP(C457,Agents!$A$2:$E$26,2,FALSE),"")</f>
        <v>Divya Shah</v>
      </c>
      <c r="O457" s="1" t="str">
        <f>IFERROR(INDEX(Agents!$D$2:$D$26,MATCH(C457,Agents!$A$2:$A$26,0)),"")</f>
        <v>Voice Support</v>
      </c>
      <c r="P457" s="1" t="str">
        <f>IFERROR(VLOOKUP(C457,Agents!$A$2:$E$26,3,FALSE),"")</f>
        <v>Kritika Shah</v>
      </c>
      <c r="Q457" s="1" t="str">
        <f>IFERROR(VLOOKUP(C457,Agents!$A$2:$E$26,5,FALSE),"")</f>
        <v>Gurugram</v>
      </c>
      <c r="R457" s="1">
        <f>IFERROR(VLOOKUP(F457,#REF!,2,FALSE),0)</f>
        <v>0</v>
      </c>
      <c r="S457" s="1" t="str">
        <f t="shared" si="42"/>
        <v>Breached</v>
      </c>
      <c r="T457" s="1" t="str">
        <f t="shared" si="43"/>
        <v>Late</v>
      </c>
      <c r="U457" s="1" t="str">
        <f t="shared" si="44"/>
        <v>2025-12</v>
      </c>
      <c r="V457" s="1" t="str">
        <f t="shared" si="45"/>
        <v>Good</v>
      </c>
      <c r="W457" s="1" t="str">
        <f t="shared" si="46"/>
        <v>Pass</v>
      </c>
      <c r="X457" s="1" t="str">
        <f t="shared" si="47"/>
        <v>Unique</v>
      </c>
    </row>
    <row r="458" spans="1:24" ht="15" customHeight="1">
      <c r="A458" s="1" t="str">
        <f>'Raw Tickets'!$A$458</f>
        <v>T00457</v>
      </c>
      <c r="B458" s="4">
        <f>'Raw Tickets'!$B$458</f>
        <v>45715</v>
      </c>
      <c r="C458" s="1" t="str">
        <f>'Raw Tickets'!$C$458</f>
        <v>A006</v>
      </c>
      <c r="D458" s="1" t="str">
        <f>'Raw Tickets'!$D$458</f>
        <v>Email</v>
      </c>
      <c r="E458" s="1" t="str">
        <f>'Raw Tickets'!$E$458</f>
        <v>Refund</v>
      </c>
      <c r="F458" s="1" t="str">
        <f>'Raw Tickets'!$F$458</f>
        <v>Low</v>
      </c>
      <c r="G458" s="1">
        <f>'Raw Tickets'!$G$458</f>
        <v>18.5</v>
      </c>
      <c r="H458" s="1">
        <f>'Raw Tickets'!$H$458</f>
        <v>30</v>
      </c>
      <c r="I458" s="1">
        <f>'Raw Tickets'!$I$458</f>
        <v>3</v>
      </c>
      <c r="J458" s="6">
        <f>'Raw Tickets'!$J$458</f>
        <v>91.3</v>
      </c>
      <c r="K458" s="1" t="str">
        <f>'Raw Tickets'!$K$458</f>
        <v>Closed</v>
      </c>
      <c r="L458" s="1" t="str">
        <f>'Raw Tickets'!$L$458</f>
        <v>No</v>
      </c>
      <c r="M458" s="1" t="str">
        <f>'Raw Tickets'!$M$458</f>
        <v>No</v>
      </c>
      <c r="N458" s="1" t="str">
        <f>IFERROR(VLOOKUP(C458,Agents!$A$2:$E$26,2,FALSE),"")</f>
        <v>Divya Shah</v>
      </c>
      <c r="O458" s="1" t="str">
        <f>IFERROR(INDEX(Agents!$D$2:$D$26,MATCH(C458,Agents!$A$2:$A$26,0)),"")</f>
        <v>Voice Support</v>
      </c>
      <c r="P458" s="1" t="str">
        <f>IFERROR(VLOOKUP(C458,Agents!$A$2:$E$26,3,FALSE),"")</f>
        <v>Kritika Shah</v>
      </c>
      <c r="Q458" s="1" t="str">
        <f>IFERROR(VLOOKUP(C458,Agents!$A$2:$E$26,5,FALSE),"")</f>
        <v>Gurugram</v>
      </c>
      <c r="R458" s="1">
        <f>IFERROR(VLOOKUP(F458,#REF!,2,FALSE),0)</f>
        <v>0</v>
      </c>
      <c r="S458" s="1" t="str">
        <f t="shared" si="42"/>
        <v>Breached</v>
      </c>
      <c r="T458" s="1" t="str">
        <f t="shared" si="43"/>
        <v>Within Target</v>
      </c>
      <c r="U458" s="1" t="str">
        <f t="shared" si="44"/>
        <v>2025-02</v>
      </c>
      <c r="V458" s="1" t="str">
        <f t="shared" si="45"/>
        <v>Average</v>
      </c>
      <c r="W458" s="1" t="str">
        <f t="shared" si="46"/>
        <v>Pass</v>
      </c>
      <c r="X458" s="1" t="str">
        <f t="shared" si="47"/>
        <v>Unique</v>
      </c>
    </row>
    <row r="459" spans="1:24" ht="15" customHeight="1">
      <c r="A459" s="1" t="str">
        <f>'Raw Tickets'!$A$459</f>
        <v>T00458</v>
      </c>
      <c r="B459" s="4">
        <f>'Raw Tickets'!$B$459</f>
        <v>45900</v>
      </c>
      <c r="C459" s="1" t="str">
        <f>'Raw Tickets'!$C$459</f>
        <v>A025</v>
      </c>
      <c r="D459" s="1" t="str">
        <f>'Raw Tickets'!$D$459</f>
        <v>Chat</v>
      </c>
      <c r="E459" s="1" t="str">
        <f>'Raw Tickets'!$E$459</f>
        <v>Refund</v>
      </c>
      <c r="F459" s="1" t="str">
        <f>'Raw Tickets'!$F$459</f>
        <v>High</v>
      </c>
      <c r="G459" s="1">
        <f>'Raw Tickets'!$G$459</f>
        <v>4.8</v>
      </c>
      <c r="H459" s="1">
        <f>'Raw Tickets'!$H$459</f>
        <v>11</v>
      </c>
      <c r="I459" s="1">
        <f>'Raw Tickets'!$I$459</f>
        <v>5</v>
      </c>
      <c r="J459" s="6">
        <f>'Raw Tickets'!$J$459</f>
        <v>96.5</v>
      </c>
      <c r="K459" s="1" t="str">
        <f>'Raw Tickets'!$K$459</f>
        <v>Closed</v>
      </c>
      <c r="L459" s="1" t="str">
        <f>'Raw Tickets'!$L$459</f>
        <v>No</v>
      </c>
      <c r="M459" s="1" t="str">
        <f>'Raw Tickets'!$M$459</f>
        <v>No</v>
      </c>
      <c r="N459" s="1" t="str">
        <f>IFERROR(VLOOKUP(C459,Agents!$A$2:$E$26,2,FALSE),"")</f>
        <v>Arjun Nair</v>
      </c>
      <c r="O459" s="1" t="str">
        <f>IFERROR(INDEX(Agents!$D$2:$D$26,MATCH(C459,Agents!$A$2:$A$26,0)),"")</f>
        <v>Seller Support</v>
      </c>
      <c r="P459" s="1" t="str">
        <f>IFERROR(VLOOKUP(C459,Agents!$A$2:$E$26,3,FALSE),"")</f>
        <v>Vivek Jain</v>
      </c>
      <c r="Q459" s="1" t="str">
        <f>IFERROR(VLOOKUP(C459,Agents!$A$2:$E$26,5,FALSE),"")</f>
        <v>Noida</v>
      </c>
      <c r="R459" s="1">
        <f>IFERROR(VLOOKUP(F459,#REF!,2,FALSE),0)</f>
        <v>0</v>
      </c>
      <c r="S459" s="1" t="str">
        <f t="shared" si="42"/>
        <v>Breached</v>
      </c>
      <c r="T459" s="1" t="str">
        <f t="shared" si="43"/>
        <v>Within Target</v>
      </c>
      <c r="U459" s="1" t="str">
        <f t="shared" si="44"/>
        <v>2025-08</v>
      </c>
      <c r="V459" s="1" t="str">
        <f t="shared" si="45"/>
        <v>Good</v>
      </c>
      <c r="W459" s="1" t="str">
        <f t="shared" si="46"/>
        <v>Pass</v>
      </c>
      <c r="X459" s="1" t="str">
        <f t="shared" si="47"/>
        <v>Unique</v>
      </c>
    </row>
    <row r="460" spans="1:24" ht="15" customHeight="1">
      <c r="A460" s="1" t="str">
        <f>'Raw Tickets'!$A$460</f>
        <v>T00459</v>
      </c>
      <c r="B460" s="4">
        <f>'Raw Tickets'!$B$460</f>
        <v>45861</v>
      </c>
      <c r="C460" s="1" t="str">
        <f>'Raw Tickets'!$C$460</f>
        <v>A023</v>
      </c>
      <c r="D460" s="1" t="str">
        <f>'Raw Tickets'!$D$460</f>
        <v>Call</v>
      </c>
      <c r="E460" s="1" t="str">
        <f>'Raw Tickets'!$E$460</f>
        <v>Delivery Delay</v>
      </c>
      <c r="F460" s="1" t="str">
        <f>'Raw Tickets'!$F$460</f>
        <v>High</v>
      </c>
      <c r="G460" s="1">
        <f>'Raw Tickets'!$G$460</f>
        <v>6.4</v>
      </c>
      <c r="H460" s="1">
        <f>'Raw Tickets'!$H$460</f>
        <v>27</v>
      </c>
      <c r="I460" s="1">
        <f>'Raw Tickets'!$I$460</f>
        <v>4</v>
      </c>
      <c r="J460" s="6">
        <f>'Raw Tickets'!$J$460</f>
        <v>82.3</v>
      </c>
      <c r="K460" s="1" t="str">
        <f>'Raw Tickets'!$K$460</f>
        <v>Closed</v>
      </c>
      <c r="L460" s="1" t="str">
        <f>'Raw Tickets'!$L$460</f>
        <v>No</v>
      </c>
      <c r="M460" s="1" t="str">
        <f>'Raw Tickets'!$M$460</f>
        <v>No</v>
      </c>
      <c r="N460" s="1" t="str">
        <f>IFERROR(VLOOKUP(C460,Agents!$A$2:$E$26,2,FALSE),"")</f>
        <v>Ishita Verma</v>
      </c>
      <c r="O460" s="1" t="str">
        <f>IFERROR(INDEX(Agents!$D$2:$D$26,MATCH(C460,Agents!$A$2:$A$26,0)),"")</f>
        <v>Seller Support</v>
      </c>
      <c r="P460" s="1" t="str">
        <f>IFERROR(VLOOKUP(C460,Agents!$A$2:$E$26,3,FALSE),"")</f>
        <v>Vivek Jain</v>
      </c>
      <c r="Q460" s="1" t="str">
        <f>IFERROR(VLOOKUP(C460,Agents!$A$2:$E$26,5,FALSE),"")</f>
        <v>Noida</v>
      </c>
      <c r="R460" s="1">
        <f>IFERROR(VLOOKUP(F460,#REF!,2,FALSE),0)</f>
        <v>0</v>
      </c>
      <c r="S460" s="1" t="str">
        <f t="shared" si="42"/>
        <v>Breached</v>
      </c>
      <c r="T460" s="1" t="str">
        <f t="shared" si="43"/>
        <v>Within Target</v>
      </c>
      <c r="U460" s="1" t="str">
        <f t="shared" si="44"/>
        <v>2025-07</v>
      </c>
      <c r="V460" s="1" t="str">
        <f t="shared" si="45"/>
        <v>Good</v>
      </c>
      <c r="W460" s="1" t="str">
        <f t="shared" si="46"/>
        <v>Needs Coaching</v>
      </c>
      <c r="X460" s="1" t="str">
        <f t="shared" si="47"/>
        <v>Unique</v>
      </c>
    </row>
    <row r="461" spans="1:24" ht="15" customHeight="1">
      <c r="A461" s="1" t="str">
        <f>'Raw Tickets'!$A$461</f>
        <v>T00460</v>
      </c>
      <c r="B461" s="4">
        <f>'Raw Tickets'!$B$461</f>
        <v>45872</v>
      </c>
      <c r="C461" s="1" t="str">
        <f>'Raw Tickets'!$C$461</f>
        <v>A004</v>
      </c>
      <c r="D461" s="1" t="str">
        <f>'Raw Tickets'!$D$461</f>
        <v>Email</v>
      </c>
      <c r="E461" s="1" t="str">
        <f>'Raw Tickets'!$E$461</f>
        <v>Account Issue</v>
      </c>
      <c r="F461" s="1" t="str">
        <f>'Raw Tickets'!$F$461</f>
        <v>Low</v>
      </c>
      <c r="G461" s="1">
        <f>'Raw Tickets'!$G$461</f>
        <v>43.3</v>
      </c>
      <c r="H461" s="1">
        <f>'Raw Tickets'!$H$461</f>
        <v>30</v>
      </c>
      <c r="I461" s="1">
        <f>'Raw Tickets'!$I$461</f>
        <v>4</v>
      </c>
      <c r="J461" s="6">
        <f>'Raw Tickets'!$J$461</f>
        <v>86.3</v>
      </c>
      <c r="K461" s="1" t="str">
        <f>'Raw Tickets'!$K$461</f>
        <v>Closed</v>
      </c>
      <c r="L461" s="1" t="str">
        <f>'Raw Tickets'!$L$461</f>
        <v>No</v>
      </c>
      <c r="M461" s="1" t="str">
        <f>'Raw Tickets'!$M$461</f>
        <v>No</v>
      </c>
      <c r="N461" s="1" t="str">
        <f>IFERROR(VLOOKUP(C461,Agents!$A$2:$E$26,2,FALSE),"")</f>
        <v>Arjun Agarwal</v>
      </c>
      <c r="O461" s="1" t="str">
        <f>IFERROR(INDEX(Agents!$D$2:$D$26,MATCH(C461,Agents!$A$2:$A$26,0)),"")</f>
        <v>Email Support</v>
      </c>
      <c r="P461" s="1" t="str">
        <f>IFERROR(VLOOKUP(C461,Agents!$A$2:$E$26,3,FALSE),"")</f>
        <v>Aman Verma</v>
      </c>
      <c r="Q461" s="1" t="str">
        <f>IFERROR(VLOOKUP(C461,Agents!$A$2:$E$26,5,FALSE),"")</f>
        <v>Bengaluru</v>
      </c>
      <c r="R461" s="1">
        <f>IFERROR(VLOOKUP(F461,#REF!,2,FALSE),0)</f>
        <v>0</v>
      </c>
      <c r="S461" s="1" t="str">
        <f t="shared" si="42"/>
        <v>Breached</v>
      </c>
      <c r="T461" s="1" t="str">
        <f t="shared" si="43"/>
        <v>Within Target</v>
      </c>
      <c r="U461" s="1" t="str">
        <f t="shared" si="44"/>
        <v>2025-08</v>
      </c>
      <c r="V461" s="1" t="str">
        <f t="shared" si="45"/>
        <v>Good</v>
      </c>
      <c r="W461" s="1" t="str">
        <f t="shared" si="46"/>
        <v>Pass</v>
      </c>
      <c r="X461" s="1" t="str">
        <f t="shared" si="47"/>
        <v>Unique</v>
      </c>
    </row>
    <row r="462" spans="1:24" ht="15" customHeight="1">
      <c r="A462" s="1" t="str">
        <f>'Raw Tickets'!$A$462</f>
        <v>T00461</v>
      </c>
      <c r="B462" s="4">
        <f>'Raw Tickets'!$B$462</f>
        <v>45889</v>
      </c>
      <c r="C462" s="1" t="str">
        <f>'Raw Tickets'!$C$462</f>
        <v>A007</v>
      </c>
      <c r="D462" s="1" t="str">
        <f>'Raw Tickets'!$D$462</f>
        <v>Email</v>
      </c>
      <c r="E462" s="1" t="str">
        <f>'Raw Tickets'!$E$462</f>
        <v>Payment Failure</v>
      </c>
      <c r="F462" s="1" t="str">
        <f>'Raw Tickets'!$F$462</f>
        <v>High</v>
      </c>
      <c r="G462" s="1">
        <f>'Raw Tickets'!$G$462</f>
        <v>4</v>
      </c>
      <c r="H462" s="1">
        <f>'Raw Tickets'!$H$462</f>
        <v>33</v>
      </c>
      <c r="I462" s="1">
        <f>'Raw Tickets'!$I$462</f>
        <v>5</v>
      </c>
      <c r="J462" s="6">
        <f>'Raw Tickets'!$J$462</f>
        <v>89.4</v>
      </c>
      <c r="K462" s="1" t="str">
        <f>'Raw Tickets'!$K$462</f>
        <v>Closed</v>
      </c>
      <c r="L462" s="1" t="str">
        <f>'Raw Tickets'!$L$462</f>
        <v>No</v>
      </c>
      <c r="M462" s="1" t="str">
        <f>'Raw Tickets'!$M$462</f>
        <v>No</v>
      </c>
      <c r="N462" s="1" t="str">
        <f>IFERROR(VLOOKUP(C462,Agents!$A$2:$E$26,2,FALSE),"")</f>
        <v>Kavya Patel</v>
      </c>
      <c r="O462" s="1" t="str">
        <f>IFERROR(INDEX(Agents!$D$2:$D$26,MATCH(C462,Agents!$A$2:$A$26,0)),"")</f>
        <v>Voice Support</v>
      </c>
      <c r="P462" s="1" t="str">
        <f>IFERROR(VLOOKUP(C462,Agents!$A$2:$E$26,3,FALSE),"")</f>
        <v>Kritika Shah</v>
      </c>
      <c r="Q462" s="1" t="str">
        <f>IFERROR(VLOOKUP(C462,Agents!$A$2:$E$26,5,FALSE),"")</f>
        <v>Noida</v>
      </c>
      <c r="R462" s="1">
        <f>IFERROR(VLOOKUP(F462,#REF!,2,FALSE),0)</f>
        <v>0</v>
      </c>
      <c r="S462" s="1" t="str">
        <f t="shared" si="42"/>
        <v>Breached</v>
      </c>
      <c r="T462" s="1" t="str">
        <f t="shared" si="43"/>
        <v>Late</v>
      </c>
      <c r="U462" s="1" t="str">
        <f t="shared" si="44"/>
        <v>2025-08</v>
      </c>
      <c r="V462" s="1" t="str">
        <f t="shared" si="45"/>
        <v>Good</v>
      </c>
      <c r="W462" s="1" t="str">
        <f t="shared" si="46"/>
        <v>Pass</v>
      </c>
      <c r="X462" s="1" t="str">
        <f t="shared" si="47"/>
        <v>Unique</v>
      </c>
    </row>
    <row r="463" spans="1:24" ht="15" customHeight="1">
      <c r="A463" s="1" t="str">
        <f>'Raw Tickets'!$A$463</f>
        <v>T00462</v>
      </c>
      <c r="B463" s="4">
        <f>'Raw Tickets'!$B$463</f>
        <v>45963</v>
      </c>
      <c r="C463" s="1" t="str">
        <f>'Raw Tickets'!$C$463</f>
        <v>A020</v>
      </c>
      <c r="D463" s="1" t="str">
        <f>'Raw Tickets'!$D$463</f>
        <v>Email</v>
      </c>
      <c r="E463" s="1" t="str">
        <f>'Raw Tickets'!$E$463</f>
        <v>Refund</v>
      </c>
      <c r="F463" s="1" t="str">
        <f>'Raw Tickets'!$F$463</f>
        <v>High</v>
      </c>
      <c r="G463" s="1">
        <f>'Raw Tickets'!$G$463</f>
        <v>17.3</v>
      </c>
      <c r="H463" s="1">
        <f>'Raw Tickets'!$H$463</f>
        <v>15</v>
      </c>
      <c r="I463" s="1">
        <f>'Raw Tickets'!$I$463</f>
        <v>5</v>
      </c>
      <c r="J463" s="6">
        <f>'Raw Tickets'!$J$463</f>
        <v>94.7</v>
      </c>
      <c r="K463" s="1" t="str">
        <f>'Raw Tickets'!$K$463</f>
        <v>Closed</v>
      </c>
      <c r="L463" s="1" t="str">
        <f>'Raw Tickets'!$L$463</f>
        <v>No</v>
      </c>
      <c r="M463" s="1" t="str">
        <f>'Raw Tickets'!$M$463</f>
        <v>Yes</v>
      </c>
      <c r="N463" s="1" t="str">
        <f>IFERROR(VLOOKUP(C463,Agents!$A$2:$E$26,2,FALSE),"")</f>
        <v>Aditi Bansal</v>
      </c>
      <c r="O463" s="1" t="str">
        <f>IFERROR(INDEX(Agents!$D$2:$D$26,MATCH(C463,Agents!$A$2:$A$26,0)),"")</f>
        <v>Escalations</v>
      </c>
      <c r="P463" s="1" t="str">
        <f>IFERROR(VLOOKUP(C463,Agents!$A$2:$E$26,3,FALSE),"")</f>
        <v>Pallavi Rao</v>
      </c>
      <c r="Q463" s="1" t="str">
        <f>IFERROR(VLOOKUP(C463,Agents!$A$2:$E$26,5,FALSE),"")</f>
        <v>Noida</v>
      </c>
      <c r="R463" s="1">
        <f>IFERROR(VLOOKUP(F463,#REF!,2,FALSE),0)</f>
        <v>0</v>
      </c>
      <c r="S463" s="1" t="str">
        <f t="shared" si="42"/>
        <v>Breached</v>
      </c>
      <c r="T463" s="1" t="str">
        <f t="shared" si="43"/>
        <v>Within Target</v>
      </c>
      <c r="U463" s="1" t="str">
        <f t="shared" si="44"/>
        <v>2025-11</v>
      </c>
      <c r="V463" s="1" t="str">
        <f t="shared" si="45"/>
        <v>Good</v>
      </c>
      <c r="W463" s="1" t="str">
        <f t="shared" si="46"/>
        <v>Pass</v>
      </c>
      <c r="X463" s="1" t="str">
        <f t="shared" si="47"/>
        <v>Unique</v>
      </c>
    </row>
    <row r="464" spans="1:24" ht="15" customHeight="1">
      <c r="A464" s="1" t="str">
        <f>'Raw Tickets'!$A$464</f>
        <v>T00463</v>
      </c>
      <c r="B464" s="4">
        <f>'Raw Tickets'!$B$464</f>
        <v>45968</v>
      </c>
      <c r="C464" s="1" t="str">
        <f>'Raw Tickets'!$C$464</f>
        <v>A018</v>
      </c>
      <c r="D464" s="1" t="str">
        <f>'Raw Tickets'!$D$464</f>
        <v>Email</v>
      </c>
      <c r="E464" s="1" t="str">
        <f>'Raw Tickets'!$E$464</f>
        <v>Account Issue</v>
      </c>
      <c r="F464" s="1" t="str">
        <f>'Raw Tickets'!$F$464</f>
        <v>Low</v>
      </c>
      <c r="G464" s="1">
        <f>'Raw Tickets'!$G$464</f>
        <v>47</v>
      </c>
      <c r="H464" s="1">
        <f>'Raw Tickets'!$H$464</f>
        <v>37</v>
      </c>
      <c r="I464" s="1">
        <f>'Raw Tickets'!$I$464</f>
        <v>4</v>
      </c>
      <c r="J464" s="6">
        <f>'Raw Tickets'!$J$464</f>
        <v>78.2</v>
      </c>
      <c r="K464" s="1" t="str">
        <f>'Raw Tickets'!$K$464</f>
        <v>Closed</v>
      </c>
      <c r="L464" s="1" t="str">
        <f>'Raw Tickets'!$L$464</f>
        <v>No</v>
      </c>
      <c r="M464" s="1" t="str">
        <f>'Raw Tickets'!$M$464</f>
        <v>No</v>
      </c>
      <c r="N464" s="1" t="str">
        <f>IFERROR(VLOOKUP(C464,Agents!$A$2:$E$26,2,FALSE),"")</f>
        <v>Rahul Verma</v>
      </c>
      <c r="O464" s="1" t="str">
        <f>IFERROR(INDEX(Agents!$D$2:$D$26,MATCH(C464,Agents!$A$2:$A$26,0)),"")</f>
        <v>Escalations</v>
      </c>
      <c r="P464" s="1" t="str">
        <f>IFERROR(VLOOKUP(C464,Agents!$A$2:$E$26,3,FALSE),"")</f>
        <v>Pallavi Rao</v>
      </c>
      <c r="Q464" s="1" t="str">
        <f>IFERROR(VLOOKUP(C464,Agents!$A$2:$E$26,5,FALSE),"")</f>
        <v>Hyderabad</v>
      </c>
      <c r="R464" s="1">
        <f>IFERROR(VLOOKUP(F464,#REF!,2,FALSE),0)</f>
        <v>0</v>
      </c>
      <c r="S464" s="1" t="str">
        <f t="shared" si="42"/>
        <v>Breached</v>
      </c>
      <c r="T464" s="1" t="str">
        <f t="shared" si="43"/>
        <v>Late</v>
      </c>
      <c r="U464" s="1" t="str">
        <f t="shared" si="44"/>
        <v>2025-11</v>
      </c>
      <c r="V464" s="1" t="str">
        <f t="shared" si="45"/>
        <v>Good</v>
      </c>
      <c r="W464" s="1" t="str">
        <f t="shared" si="46"/>
        <v>Needs Coaching</v>
      </c>
      <c r="X464" s="1" t="str">
        <f t="shared" si="47"/>
        <v>Unique</v>
      </c>
    </row>
    <row r="465" spans="1:24" ht="15" customHeight="1">
      <c r="A465" s="1" t="str">
        <f>'Raw Tickets'!$A$465</f>
        <v>T00464</v>
      </c>
      <c r="B465" s="4">
        <f>'Raw Tickets'!$B$465</f>
        <v>45967</v>
      </c>
      <c r="C465" s="1" t="str">
        <f>'Raw Tickets'!$C$465</f>
        <v>A019</v>
      </c>
      <c r="D465" s="1" t="str">
        <f>'Raw Tickets'!$D$465</f>
        <v>Email</v>
      </c>
      <c r="E465" s="1" t="str">
        <f>'Raw Tickets'!$E$465</f>
        <v>Delivery Delay</v>
      </c>
      <c r="F465" s="1" t="str">
        <f>'Raw Tickets'!$F$465</f>
        <v>Medium</v>
      </c>
      <c r="G465" s="1">
        <f>'Raw Tickets'!$G$465</f>
        <v>3.7</v>
      </c>
      <c r="H465" s="1">
        <f>'Raw Tickets'!$H$465</f>
        <v>44</v>
      </c>
      <c r="I465" s="1">
        <f>'Raw Tickets'!$I$465</f>
        <v>3</v>
      </c>
      <c r="J465" s="6">
        <f>'Raw Tickets'!$J$465</f>
        <v>81.3</v>
      </c>
      <c r="K465" s="1" t="str">
        <f>'Raw Tickets'!$K$465</f>
        <v>Closed</v>
      </c>
      <c r="L465" s="1" t="str">
        <f>'Raw Tickets'!$L$465</f>
        <v>No</v>
      </c>
      <c r="M465" s="1" t="str">
        <f>'Raw Tickets'!$M$465</f>
        <v>No</v>
      </c>
      <c r="N465" s="1" t="str">
        <f>IFERROR(VLOOKUP(C465,Agents!$A$2:$E$26,2,FALSE),"")</f>
        <v>Sneha Joshi</v>
      </c>
      <c r="O465" s="1" t="str">
        <f>IFERROR(INDEX(Agents!$D$2:$D$26,MATCH(C465,Agents!$A$2:$A$26,0)),"")</f>
        <v>Escalations</v>
      </c>
      <c r="P465" s="1" t="str">
        <f>IFERROR(VLOOKUP(C465,Agents!$A$2:$E$26,3,FALSE),"")</f>
        <v>Pallavi Rao</v>
      </c>
      <c r="Q465" s="1" t="str">
        <f>IFERROR(VLOOKUP(C465,Agents!$A$2:$E$26,5,FALSE),"")</f>
        <v>Hyderabad</v>
      </c>
      <c r="R465" s="1">
        <f>IFERROR(VLOOKUP(F465,#REF!,2,FALSE),0)</f>
        <v>0</v>
      </c>
      <c r="S465" s="1" t="str">
        <f t="shared" si="42"/>
        <v>Breached</v>
      </c>
      <c r="T465" s="1" t="str">
        <f t="shared" si="43"/>
        <v>Late</v>
      </c>
      <c r="U465" s="1" t="str">
        <f t="shared" si="44"/>
        <v>2025-11</v>
      </c>
      <c r="V465" s="1" t="str">
        <f t="shared" si="45"/>
        <v>Average</v>
      </c>
      <c r="W465" s="1" t="str">
        <f t="shared" si="46"/>
        <v>Needs Coaching</v>
      </c>
      <c r="X465" s="1" t="str">
        <f t="shared" si="47"/>
        <v>Unique</v>
      </c>
    </row>
    <row r="466" spans="1:24" ht="15" customHeight="1">
      <c r="A466" s="1" t="str">
        <f>'Raw Tickets'!$A$466</f>
        <v>T00465</v>
      </c>
      <c r="B466" s="4">
        <f>'Raw Tickets'!$B$466</f>
        <v>45775</v>
      </c>
      <c r="C466" s="1" t="str">
        <f>'Raw Tickets'!$C$466</f>
        <v>A012</v>
      </c>
      <c r="D466" s="1" t="str">
        <f>'Raw Tickets'!$D$466</f>
        <v>Chat</v>
      </c>
      <c r="E466" s="1" t="str">
        <f>'Raw Tickets'!$E$466</f>
        <v>Refund</v>
      </c>
      <c r="F466" s="1" t="str">
        <f>'Raw Tickets'!$F$466</f>
        <v>Medium</v>
      </c>
      <c r="G466" s="1">
        <f>'Raw Tickets'!$G$466</f>
        <v>9.6999999999999993</v>
      </c>
      <c r="H466" s="1">
        <f>'Raw Tickets'!$H$466</f>
        <v>24</v>
      </c>
      <c r="I466" s="1">
        <f>'Raw Tickets'!$I$466</f>
        <v>5</v>
      </c>
      <c r="J466" s="6">
        <f>'Raw Tickets'!$J$466</f>
        <v>98.9</v>
      </c>
      <c r="K466" s="1" t="str">
        <f>'Raw Tickets'!$K$466</f>
        <v>Closed</v>
      </c>
      <c r="L466" s="1" t="str">
        <f>'Raw Tickets'!$L$466</f>
        <v>No</v>
      </c>
      <c r="M466" s="1" t="str">
        <f>'Raw Tickets'!$M$466</f>
        <v>No</v>
      </c>
      <c r="N466" s="1" t="str">
        <f>IFERROR(VLOOKUP(C466,Agents!$A$2:$E$26,2,FALSE),"")</f>
        <v>Ankit Khan</v>
      </c>
      <c r="O466" s="1" t="str">
        <f>IFERROR(INDEX(Agents!$D$2:$D$26,MATCH(C466,Agents!$A$2:$A$26,0)),"")</f>
        <v>Chat Support</v>
      </c>
      <c r="P466" s="1" t="str">
        <f>IFERROR(VLOOKUP(C466,Agents!$A$2:$E$26,3,FALSE),"")</f>
        <v>Nitin Gupta</v>
      </c>
      <c r="Q466" s="1" t="str">
        <f>IFERROR(VLOOKUP(C466,Agents!$A$2:$E$26,5,FALSE),"")</f>
        <v>Bengaluru</v>
      </c>
      <c r="R466" s="1">
        <f>IFERROR(VLOOKUP(F466,#REF!,2,FALSE),0)</f>
        <v>0</v>
      </c>
      <c r="S466" s="1" t="str">
        <f t="shared" si="42"/>
        <v>Breached</v>
      </c>
      <c r="T466" s="1" t="str">
        <f t="shared" si="43"/>
        <v>Within Target</v>
      </c>
      <c r="U466" s="1" t="str">
        <f t="shared" si="44"/>
        <v>2025-04</v>
      </c>
      <c r="V466" s="1" t="str">
        <f t="shared" si="45"/>
        <v>Good</v>
      </c>
      <c r="W466" s="1" t="str">
        <f t="shared" si="46"/>
        <v>Pass</v>
      </c>
      <c r="X466" s="1" t="str">
        <f t="shared" si="47"/>
        <v>Unique</v>
      </c>
    </row>
    <row r="467" spans="1:24" ht="15" customHeight="1">
      <c r="A467" s="1" t="str">
        <f>'Raw Tickets'!$A$467</f>
        <v>T00466</v>
      </c>
      <c r="B467" s="4">
        <f>'Raw Tickets'!$B$467</f>
        <v>45911</v>
      </c>
      <c r="C467" s="1" t="str">
        <f>'Raw Tickets'!$C$467</f>
        <v>A013</v>
      </c>
      <c r="D467" s="1" t="str">
        <f>'Raw Tickets'!$D$467</f>
        <v>Chat</v>
      </c>
      <c r="E467" s="1" t="str">
        <f>'Raw Tickets'!$E$467</f>
        <v>Product Quality</v>
      </c>
      <c r="F467" s="1" t="str">
        <f>'Raw Tickets'!$F$467</f>
        <v>High</v>
      </c>
      <c r="G467" s="1">
        <f>'Raw Tickets'!$G$467</f>
        <v>10.8</v>
      </c>
      <c r="H467" s="1">
        <f>'Raw Tickets'!$H$467</f>
        <v>1</v>
      </c>
      <c r="I467" s="1">
        <f>'Raw Tickets'!$I$467</f>
        <v>3</v>
      </c>
      <c r="J467" s="6">
        <f>'Raw Tickets'!$J$467</f>
        <v>90.8</v>
      </c>
      <c r="K467" s="1" t="str">
        <f>'Raw Tickets'!$K$467</f>
        <v>Closed</v>
      </c>
      <c r="L467" s="1" t="str">
        <f>'Raw Tickets'!$L$467</f>
        <v>No</v>
      </c>
      <c r="M467" s="1" t="str">
        <f>'Raw Tickets'!$M$467</f>
        <v>No</v>
      </c>
      <c r="N467" s="1" t="str">
        <f>IFERROR(VLOOKUP(C467,Agents!$A$2:$E$26,2,FALSE),"")</f>
        <v>Ananya Jain</v>
      </c>
      <c r="O467" s="1" t="str">
        <f>IFERROR(INDEX(Agents!$D$2:$D$26,MATCH(C467,Agents!$A$2:$A$26,0)),"")</f>
        <v>Chat Support</v>
      </c>
      <c r="P467" s="1" t="str">
        <f>IFERROR(VLOOKUP(C467,Agents!$A$2:$E$26,3,FALSE),"")</f>
        <v>Nitin Gupta</v>
      </c>
      <c r="Q467" s="1" t="str">
        <f>IFERROR(VLOOKUP(C467,Agents!$A$2:$E$26,5,FALSE),"")</f>
        <v>Hyderabad</v>
      </c>
      <c r="R467" s="1">
        <f>IFERROR(VLOOKUP(F467,#REF!,2,FALSE),0)</f>
        <v>0</v>
      </c>
      <c r="S467" s="1" t="str">
        <f t="shared" si="42"/>
        <v>Breached</v>
      </c>
      <c r="T467" s="1" t="str">
        <f t="shared" si="43"/>
        <v>Within Target</v>
      </c>
      <c r="U467" s="1" t="str">
        <f t="shared" si="44"/>
        <v>2025-09</v>
      </c>
      <c r="V467" s="1" t="str">
        <f t="shared" si="45"/>
        <v>Average</v>
      </c>
      <c r="W467" s="1" t="str">
        <f t="shared" si="46"/>
        <v>Pass</v>
      </c>
      <c r="X467" s="1" t="str">
        <f t="shared" si="47"/>
        <v>Unique</v>
      </c>
    </row>
    <row r="468" spans="1:24" ht="15" customHeight="1">
      <c r="A468" s="1" t="str">
        <f>'Raw Tickets'!$A$468</f>
        <v>T00467</v>
      </c>
      <c r="B468" s="4">
        <f>'Raw Tickets'!$B$468</f>
        <v>45775</v>
      </c>
      <c r="C468" s="1" t="str">
        <f>'Raw Tickets'!$C$468</f>
        <v>A002</v>
      </c>
      <c r="D468" s="1" t="str">
        <f>'Raw Tickets'!$D$468</f>
        <v>Chat</v>
      </c>
      <c r="E468" s="1" t="str">
        <f>'Raw Tickets'!$E$468</f>
        <v>Delivery Delay</v>
      </c>
      <c r="F468" s="1" t="str">
        <f>'Raw Tickets'!$F$468</f>
        <v>Critical</v>
      </c>
      <c r="G468" s="1">
        <f>'Raw Tickets'!$G$468</f>
        <v>3.4</v>
      </c>
      <c r="H468" s="1">
        <f>'Raw Tickets'!$H$468</f>
        <v>18</v>
      </c>
      <c r="I468" s="1">
        <f>'Raw Tickets'!$I$468</f>
        <v>1</v>
      </c>
      <c r="J468" s="6">
        <f>'Raw Tickets'!$J$468</f>
        <v>90.2</v>
      </c>
      <c r="K468" s="1" t="str">
        <f>'Raw Tickets'!$K$468</f>
        <v>Closed</v>
      </c>
      <c r="L468" s="1" t="str">
        <f>'Raw Tickets'!$L$468</f>
        <v>Yes</v>
      </c>
      <c r="M468" s="1" t="str">
        <f>'Raw Tickets'!$M$468</f>
        <v>Yes</v>
      </c>
      <c r="N468" s="1" t="str">
        <f>IFERROR(VLOOKUP(C468,Agents!$A$2:$E$26,2,FALSE),"")</f>
        <v>Gaurav Khan</v>
      </c>
      <c r="O468" s="1" t="str">
        <f>IFERROR(INDEX(Agents!$D$2:$D$26,MATCH(C468,Agents!$A$2:$A$26,0)),"")</f>
        <v>Email Support</v>
      </c>
      <c r="P468" s="1" t="str">
        <f>IFERROR(VLOOKUP(C468,Agents!$A$2:$E$26,3,FALSE),"")</f>
        <v>Aman Verma</v>
      </c>
      <c r="Q468" s="1" t="str">
        <f>IFERROR(VLOOKUP(C468,Agents!$A$2:$E$26,5,FALSE),"")</f>
        <v>Noida</v>
      </c>
      <c r="R468" s="1">
        <f>IFERROR(VLOOKUP(F468,#REF!,2,FALSE),0)</f>
        <v>0</v>
      </c>
      <c r="S468" s="1" t="str">
        <f t="shared" si="42"/>
        <v>Breached</v>
      </c>
      <c r="T468" s="1" t="str">
        <f t="shared" si="43"/>
        <v>Within Target</v>
      </c>
      <c r="U468" s="1" t="str">
        <f t="shared" si="44"/>
        <v>2025-04</v>
      </c>
      <c r="V468" s="1" t="str">
        <f t="shared" si="45"/>
        <v>Poor</v>
      </c>
      <c r="W468" s="1" t="str">
        <f t="shared" si="46"/>
        <v>Pass</v>
      </c>
      <c r="X468" s="1" t="str">
        <f t="shared" si="47"/>
        <v>Unique</v>
      </c>
    </row>
    <row r="469" spans="1:24" ht="15" customHeight="1">
      <c r="A469" s="1" t="str">
        <f>'Raw Tickets'!$A$469</f>
        <v>T00468</v>
      </c>
      <c r="B469" s="4">
        <f>'Raw Tickets'!$B$469</f>
        <v>45717</v>
      </c>
      <c r="C469" s="1" t="str">
        <f>'Raw Tickets'!$C$469</f>
        <v>A006</v>
      </c>
      <c r="D469" s="1" t="str">
        <f>'Raw Tickets'!$D$469</f>
        <v>Email</v>
      </c>
      <c r="E469" s="1" t="str">
        <f>'Raw Tickets'!$E$469</f>
        <v>Account Issue</v>
      </c>
      <c r="F469" s="1" t="str">
        <f>'Raw Tickets'!$F$469</f>
        <v>Low</v>
      </c>
      <c r="G469" s="1">
        <f>'Raw Tickets'!$G$469</f>
        <v>39.6</v>
      </c>
      <c r="H469" s="1">
        <f>'Raw Tickets'!$H$469</f>
        <v>41</v>
      </c>
      <c r="I469" s="1">
        <f>'Raw Tickets'!$I$469</f>
        <v>4</v>
      </c>
      <c r="J469" s="6">
        <f>'Raw Tickets'!$J$469</f>
        <v>87.6</v>
      </c>
      <c r="K469" s="1" t="str">
        <f>'Raw Tickets'!$K$469</f>
        <v>Closed</v>
      </c>
      <c r="L469" s="1" t="str">
        <f>'Raw Tickets'!$L$469</f>
        <v>No</v>
      </c>
      <c r="M469" s="1" t="str">
        <f>'Raw Tickets'!$M$469</f>
        <v>No</v>
      </c>
      <c r="N469" s="1" t="str">
        <f>IFERROR(VLOOKUP(C469,Agents!$A$2:$E$26,2,FALSE),"")</f>
        <v>Divya Shah</v>
      </c>
      <c r="O469" s="1" t="str">
        <f>IFERROR(INDEX(Agents!$D$2:$D$26,MATCH(C469,Agents!$A$2:$A$26,0)),"")</f>
        <v>Voice Support</v>
      </c>
      <c r="P469" s="1" t="str">
        <f>IFERROR(VLOOKUP(C469,Agents!$A$2:$E$26,3,FALSE),"")</f>
        <v>Kritika Shah</v>
      </c>
      <c r="Q469" s="1" t="str">
        <f>IFERROR(VLOOKUP(C469,Agents!$A$2:$E$26,5,FALSE),"")</f>
        <v>Gurugram</v>
      </c>
      <c r="R469" s="1">
        <f>IFERROR(VLOOKUP(F469,#REF!,2,FALSE),0)</f>
        <v>0</v>
      </c>
      <c r="S469" s="1" t="str">
        <f t="shared" si="42"/>
        <v>Breached</v>
      </c>
      <c r="T469" s="1" t="str">
        <f t="shared" si="43"/>
        <v>Late</v>
      </c>
      <c r="U469" s="1" t="str">
        <f t="shared" si="44"/>
        <v>2025-03</v>
      </c>
      <c r="V469" s="1" t="str">
        <f t="shared" si="45"/>
        <v>Good</v>
      </c>
      <c r="W469" s="1" t="str">
        <f t="shared" si="46"/>
        <v>Pass</v>
      </c>
      <c r="X469" s="1" t="str">
        <f t="shared" si="47"/>
        <v>Unique</v>
      </c>
    </row>
    <row r="470" spans="1:24" ht="15" customHeight="1">
      <c r="A470" s="1" t="str">
        <f>'Raw Tickets'!$A$470</f>
        <v>T00469</v>
      </c>
      <c r="B470" s="4">
        <f>'Raw Tickets'!$B$470</f>
        <v>45815</v>
      </c>
      <c r="C470" s="1" t="str">
        <f>'Raw Tickets'!$C$470</f>
        <v>A024</v>
      </c>
      <c r="D470" s="1" t="str">
        <f>'Raw Tickets'!$D$470</f>
        <v>Email</v>
      </c>
      <c r="E470" s="1" t="str">
        <f>'Raw Tickets'!$E$470</f>
        <v>Order Cancellation</v>
      </c>
      <c r="F470" s="1" t="str">
        <f>'Raw Tickets'!$F$470</f>
        <v>Low</v>
      </c>
      <c r="G470" s="1">
        <f>'Raw Tickets'!$G$470</f>
        <v>47.4</v>
      </c>
      <c r="H470" s="1">
        <f>'Raw Tickets'!$H$470</f>
        <v>77</v>
      </c>
      <c r="I470" s="1">
        <f>'Raw Tickets'!$I$470</f>
        <v>5</v>
      </c>
      <c r="J470" s="6">
        <f>'Raw Tickets'!$J$470</f>
        <v>93.7</v>
      </c>
      <c r="K470" s="1" t="str">
        <f>'Raw Tickets'!$K$470</f>
        <v>Closed</v>
      </c>
      <c r="L470" s="1" t="str">
        <f>'Raw Tickets'!$L$470</f>
        <v>No</v>
      </c>
      <c r="M470" s="1" t="str">
        <f>'Raw Tickets'!$M$470</f>
        <v>No</v>
      </c>
      <c r="N470" s="1" t="str">
        <f>IFERROR(VLOOKUP(C470,Agents!$A$2:$E$26,2,FALSE),"")</f>
        <v>Rohan Verma</v>
      </c>
      <c r="O470" s="1" t="str">
        <f>IFERROR(INDEX(Agents!$D$2:$D$26,MATCH(C470,Agents!$A$2:$A$26,0)),"")</f>
        <v>Seller Support</v>
      </c>
      <c r="P470" s="1" t="str">
        <f>IFERROR(VLOOKUP(C470,Agents!$A$2:$E$26,3,FALSE),"")</f>
        <v>Vivek Jain</v>
      </c>
      <c r="Q470" s="1" t="str">
        <f>IFERROR(VLOOKUP(C470,Agents!$A$2:$E$26,5,FALSE),"")</f>
        <v>Noida</v>
      </c>
      <c r="R470" s="1">
        <f>IFERROR(VLOOKUP(F470,#REF!,2,FALSE),0)</f>
        <v>0</v>
      </c>
      <c r="S470" s="1" t="str">
        <f t="shared" si="42"/>
        <v>Breached</v>
      </c>
      <c r="T470" s="1" t="str">
        <f t="shared" si="43"/>
        <v>Late</v>
      </c>
      <c r="U470" s="1" t="str">
        <f t="shared" si="44"/>
        <v>2025-06</v>
      </c>
      <c r="V470" s="1" t="str">
        <f t="shared" si="45"/>
        <v>Good</v>
      </c>
      <c r="W470" s="1" t="str">
        <f t="shared" si="46"/>
        <v>Pass</v>
      </c>
      <c r="X470" s="1" t="str">
        <f t="shared" si="47"/>
        <v>Unique</v>
      </c>
    </row>
    <row r="471" spans="1:24" ht="15" customHeight="1">
      <c r="A471" s="1" t="str">
        <f>'Raw Tickets'!$A$471</f>
        <v>T00470</v>
      </c>
      <c r="B471" s="4">
        <f>'Raw Tickets'!$B$471</f>
        <v>45915</v>
      </c>
      <c r="C471" s="1" t="str">
        <f>'Raw Tickets'!$C$471</f>
        <v>A020</v>
      </c>
      <c r="D471" s="1" t="str">
        <f>'Raw Tickets'!$D$471</f>
        <v>Call</v>
      </c>
      <c r="E471" s="1" t="str">
        <f>'Raw Tickets'!$E$471</f>
        <v>Delivery Delay</v>
      </c>
      <c r="F471" s="1" t="str">
        <f>'Raw Tickets'!$F$471</f>
        <v>Medium</v>
      </c>
      <c r="G471" s="1">
        <f>'Raw Tickets'!$G$471</f>
        <v>20</v>
      </c>
      <c r="H471" s="1">
        <f>'Raw Tickets'!$H$471</f>
        <v>8</v>
      </c>
      <c r="I471" s="1">
        <f>'Raw Tickets'!$I$471</f>
        <v>5</v>
      </c>
      <c r="J471" s="6">
        <f>'Raw Tickets'!$J$471</f>
        <v>91.3</v>
      </c>
      <c r="K471" s="1" t="str">
        <f>'Raw Tickets'!$K$471</f>
        <v>Closed</v>
      </c>
      <c r="L471" s="1" t="str">
        <f>'Raw Tickets'!$L$471</f>
        <v>No</v>
      </c>
      <c r="M471" s="1" t="str">
        <f>'Raw Tickets'!$M$471</f>
        <v>No</v>
      </c>
      <c r="N471" s="1" t="str">
        <f>IFERROR(VLOOKUP(C471,Agents!$A$2:$E$26,2,FALSE),"")</f>
        <v>Aditi Bansal</v>
      </c>
      <c r="O471" s="1" t="str">
        <f>IFERROR(INDEX(Agents!$D$2:$D$26,MATCH(C471,Agents!$A$2:$A$26,0)),"")</f>
        <v>Escalations</v>
      </c>
      <c r="P471" s="1" t="str">
        <f>IFERROR(VLOOKUP(C471,Agents!$A$2:$E$26,3,FALSE),"")</f>
        <v>Pallavi Rao</v>
      </c>
      <c r="Q471" s="1" t="str">
        <f>IFERROR(VLOOKUP(C471,Agents!$A$2:$E$26,5,FALSE),"")</f>
        <v>Noida</v>
      </c>
      <c r="R471" s="1">
        <f>IFERROR(VLOOKUP(F471,#REF!,2,FALSE),0)</f>
        <v>0</v>
      </c>
      <c r="S471" s="1" t="str">
        <f t="shared" si="42"/>
        <v>Breached</v>
      </c>
      <c r="T471" s="1" t="str">
        <f t="shared" si="43"/>
        <v>Within Target</v>
      </c>
      <c r="U471" s="1" t="str">
        <f t="shared" si="44"/>
        <v>2025-09</v>
      </c>
      <c r="V471" s="1" t="str">
        <f t="shared" si="45"/>
        <v>Good</v>
      </c>
      <c r="W471" s="1" t="str">
        <f t="shared" si="46"/>
        <v>Pass</v>
      </c>
      <c r="X471" s="1" t="str">
        <f t="shared" si="47"/>
        <v>Unique</v>
      </c>
    </row>
    <row r="472" spans="1:24" ht="15" customHeight="1">
      <c r="A472" s="1" t="str">
        <f>'Raw Tickets'!$A$472</f>
        <v>T00471</v>
      </c>
      <c r="B472" s="4">
        <f>'Raw Tickets'!$B$472</f>
        <v>45907</v>
      </c>
      <c r="C472" s="1" t="str">
        <f>'Raw Tickets'!$C$472</f>
        <v>A011</v>
      </c>
      <c r="D472" s="1" t="str">
        <f>'Raw Tickets'!$D$472</f>
        <v>Call</v>
      </c>
      <c r="E472" s="1" t="str">
        <f>'Raw Tickets'!$E$472</f>
        <v>Order Cancellation</v>
      </c>
      <c r="F472" s="1" t="str">
        <f>'Raw Tickets'!$F$472</f>
        <v>Low</v>
      </c>
      <c r="G472" s="1">
        <f>'Raw Tickets'!$G$472</f>
        <v>63</v>
      </c>
      <c r="H472" s="1">
        <f>'Raw Tickets'!$H$472</f>
        <v>62</v>
      </c>
      <c r="I472" s="1">
        <f>'Raw Tickets'!$I$472</f>
        <v>1</v>
      </c>
      <c r="J472" s="6">
        <f>'Raw Tickets'!$J$472</f>
        <v>86.6</v>
      </c>
      <c r="K472" s="1" t="str">
        <f>'Raw Tickets'!$K$472</f>
        <v>Closed</v>
      </c>
      <c r="L472" s="1" t="str">
        <f>'Raw Tickets'!$L$472</f>
        <v>No</v>
      </c>
      <c r="M472" s="1" t="str">
        <f>'Raw Tickets'!$M$472</f>
        <v>No</v>
      </c>
      <c r="N472" s="1" t="str">
        <f>IFERROR(VLOOKUP(C472,Agents!$A$2:$E$26,2,FALSE),"")</f>
        <v>Shreya Singh</v>
      </c>
      <c r="O472" s="1" t="str">
        <f>IFERROR(INDEX(Agents!$D$2:$D$26,MATCH(C472,Agents!$A$2:$A$26,0)),"")</f>
        <v>Chat Support</v>
      </c>
      <c r="P472" s="1" t="str">
        <f>IFERROR(VLOOKUP(C472,Agents!$A$2:$E$26,3,FALSE),"")</f>
        <v>Nitin Gupta</v>
      </c>
      <c r="Q472" s="1" t="str">
        <f>IFERROR(VLOOKUP(C472,Agents!$A$2:$E$26,5,FALSE),"")</f>
        <v>Noida</v>
      </c>
      <c r="R472" s="1">
        <f>IFERROR(VLOOKUP(F472,#REF!,2,FALSE),0)</f>
        <v>0</v>
      </c>
      <c r="S472" s="1" t="str">
        <f t="shared" si="42"/>
        <v>Breached</v>
      </c>
      <c r="T472" s="1" t="str">
        <f t="shared" si="43"/>
        <v>Late</v>
      </c>
      <c r="U472" s="1" t="str">
        <f t="shared" si="44"/>
        <v>2025-09</v>
      </c>
      <c r="V472" s="1" t="str">
        <f t="shared" si="45"/>
        <v>Poor</v>
      </c>
      <c r="W472" s="1" t="str">
        <f t="shared" si="46"/>
        <v>Pass</v>
      </c>
      <c r="X472" s="1" t="str">
        <f t="shared" si="47"/>
        <v>Unique</v>
      </c>
    </row>
    <row r="473" spans="1:24" ht="15" customHeight="1">
      <c r="A473" s="1" t="str">
        <f>'Raw Tickets'!$A$473</f>
        <v>T00472</v>
      </c>
      <c r="B473" s="4">
        <f>'Raw Tickets'!$B$473</f>
        <v>45836</v>
      </c>
      <c r="C473" s="1" t="str">
        <f>'Raw Tickets'!$C$473</f>
        <v>A006</v>
      </c>
      <c r="D473" s="1" t="str">
        <f>'Raw Tickets'!$D$473</f>
        <v>Chat</v>
      </c>
      <c r="E473" s="1" t="str">
        <f>'Raw Tickets'!$E$473</f>
        <v>Product Quality</v>
      </c>
      <c r="F473" s="1" t="str">
        <f>'Raw Tickets'!$F$473</f>
        <v>Low</v>
      </c>
      <c r="G473" s="1">
        <f>'Raw Tickets'!$G$473</f>
        <v>27.3</v>
      </c>
      <c r="H473" s="1">
        <f>'Raw Tickets'!$H$473</f>
        <v>50</v>
      </c>
      <c r="I473" s="1">
        <f>'Raw Tickets'!$I$473</f>
        <v>3</v>
      </c>
      <c r="J473" s="6">
        <f>'Raw Tickets'!$J$473</f>
        <v>71.5</v>
      </c>
      <c r="K473" s="1" t="str">
        <f>'Raw Tickets'!$K$473</f>
        <v>Closed</v>
      </c>
      <c r="L473" s="1" t="str">
        <f>'Raw Tickets'!$L$473</f>
        <v>No</v>
      </c>
      <c r="M473" s="1" t="str">
        <f>'Raw Tickets'!$M$473</f>
        <v>No</v>
      </c>
      <c r="N473" s="1" t="str">
        <f>IFERROR(VLOOKUP(C473,Agents!$A$2:$E$26,2,FALSE),"")</f>
        <v>Divya Shah</v>
      </c>
      <c r="O473" s="1" t="str">
        <f>IFERROR(INDEX(Agents!$D$2:$D$26,MATCH(C473,Agents!$A$2:$A$26,0)),"")</f>
        <v>Voice Support</v>
      </c>
      <c r="P473" s="1" t="str">
        <f>IFERROR(VLOOKUP(C473,Agents!$A$2:$E$26,3,FALSE),"")</f>
        <v>Kritika Shah</v>
      </c>
      <c r="Q473" s="1" t="str">
        <f>IFERROR(VLOOKUP(C473,Agents!$A$2:$E$26,5,FALSE),"")</f>
        <v>Gurugram</v>
      </c>
      <c r="R473" s="1">
        <f>IFERROR(VLOOKUP(F473,#REF!,2,FALSE),0)</f>
        <v>0</v>
      </c>
      <c r="S473" s="1" t="str">
        <f t="shared" si="42"/>
        <v>Breached</v>
      </c>
      <c r="T473" s="1" t="str">
        <f t="shared" si="43"/>
        <v>Late</v>
      </c>
      <c r="U473" s="1" t="str">
        <f t="shared" si="44"/>
        <v>2025-06</v>
      </c>
      <c r="V473" s="1" t="str">
        <f t="shared" si="45"/>
        <v>Average</v>
      </c>
      <c r="W473" s="1" t="str">
        <f t="shared" si="46"/>
        <v>Needs Coaching</v>
      </c>
      <c r="X473" s="1" t="str">
        <f t="shared" si="47"/>
        <v>Unique</v>
      </c>
    </row>
    <row r="474" spans="1:24" ht="15" customHeight="1">
      <c r="A474" s="1" t="str">
        <f>'Raw Tickets'!$A$474</f>
        <v>T00473</v>
      </c>
      <c r="B474" s="4">
        <f>'Raw Tickets'!$B$474</f>
        <v>45694</v>
      </c>
      <c r="C474" s="1" t="str">
        <f>'Raw Tickets'!$C$474</f>
        <v>A022</v>
      </c>
      <c r="D474" s="1" t="str">
        <f>'Raw Tickets'!$D$474</f>
        <v>Email</v>
      </c>
      <c r="E474" s="1" t="str">
        <f>'Raw Tickets'!$E$474</f>
        <v>Delivery Delay</v>
      </c>
      <c r="F474" s="1" t="str">
        <f>'Raw Tickets'!$F$474</f>
        <v>Medium</v>
      </c>
      <c r="G474" s="1">
        <f>'Raw Tickets'!$G$474</f>
        <v>20.100000000000001</v>
      </c>
      <c r="H474" s="1">
        <f>'Raw Tickets'!$H$474</f>
        <v>32</v>
      </c>
      <c r="I474" s="1">
        <f>'Raw Tickets'!$I$474</f>
        <v>4</v>
      </c>
      <c r="J474" s="6">
        <f>'Raw Tickets'!$J$474</f>
        <v>90.4</v>
      </c>
      <c r="K474" s="1" t="str">
        <f>'Raw Tickets'!$K$474</f>
        <v>Closed</v>
      </c>
      <c r="L474" s="1" t="str">
        <f>'Raw Tickets'!$L$474</f>
        <v>No</v>
      </c>
      <c r="M474" s="1" t="str">
        <f>'Raw Tickets'!$M$474</f>
        <v>No</v>
      </c>
      <c r="N474" s="1" t="str">
        <f>IFERROR(VLOOKUP(C474,Agents!$A$2:$E$26,2,FALSE),"")</f>
        <v>Varun Sharma</v>
      </c>
      <c r="O474" s="1" t="str">
        <f>IFERROR(INDEX(Agents!$D$2:$D$26,MATCH(C474,Agents!$A$2:$A$26,0)),"")</f>
        <v>Seller Support</v>
      </c>
      <c r="P474" s="1" t="str">
        <f>IFERROR(VLOOKUP(C474,Agents!$A$2:$E$26,3,FALSE),"")</f>
        <v>Vivek Jain</v>
      </c>
      <c r="Q474" s="1" t="str">
        <f>IFERROR(VLOOKUP(C474,Agents!$A$2:$E$26,5,FALSE),"")</f>
        <v>Noida</v>
      </c>
      <c r="R474" s="1">
        <f>IFERROR(VLOOKUP(F474,#REF!,2,FALSE),0)</f>
        <v>0</v>
      </c>
      <c r="S474" s="1" t="str">
        <f t="shared" si="42"/>
        <v>Breached</v>
      </c>
      <c r="T474" s="1" t="str">
        <f t="shared" si="43"/>
        <v>Late</v>
      </c>
      <c r="U474" s="1" t="str">
        <f t="shared" si="44"/>
        <v>2025-02</v>
      </c>
      <c r="V474" s="1" t="str">
        <f t="shared" si="45"/>
        <v>Good</v>
      </c>
      <c r="W474" s="1" t="str">
        <f t="shared" si="46"/>
        <v>Pass</v>
      </c>
      <c r="X474" s="1" t="str">
        <f t="shared" si="47"/>
        <v>Unique</v>
      </c>
    </row>
    <row r="475" spans="1:24" ht="15" customHeight="1">
      <c r="A475" s="1" t="str">
        <f>'Raw Tickets'!$A$475</f>
        <v>T00474</v>
      </c>
      <c r="B475" s="4">
        <f>'Raw Tickets'!$B$475</f>
        <v>45717</v>
      </c>
      <c r="C475" s="1" t="str">
        <f>'Raw Tickets'!$C$475</f>
        <v>A019</v>
      </c>
      <c r="D475" s="1" t="str">
        <f>'Raw Tickets'!$D$475</f>
        <v>Email</v>
      </c>
      <c r="E475" s="1" t="str">
        <f>'Raw Tickets'!$E$475</f>
        <v>Delivery Delay</v>
      </c>
      <c r="F475" s="1" t="str">
        <f>'Raw Tickets'!$F$475</f>
        <v>High</v>
      </c>
      <c r="G475" s="1">
        <f>'Raw Tickets'!$G$475</f>
        <v>17.5</v>
      </c>
      <c r="H475" s="1">
        <f>'Raw Tickets'!$H$475</f>
        <v>1</v>
      </c>
      <c r="I475" s="1">
        <f>'Raw Tickets'!$I$475</f>
        <v>5</v>
      </c>
      <c r="J475" s="6">
        <f>'Raw Tickets'!$J$475</f>
        <v>72.5</v>
      </c>
      <c r="K475" s="1" t="str">
        <f>'Raw Tickets'!$K$475</f>
        <v>Closed</v>
      </c>
      <c r="L475" s="1" t="str">
        <f>'Raw Tickets'!$L$475</f>
        <v>No</v>
      </c>
      <c r="M475" s="1" t="str">
        <f>'Raw Tickets'!$M$475</f>
        <v>No</v>
      </c>
      <c r="N475" s="1" t="str">
        <f>IFERROR(VLOOKUP(C475,Agents!$A$2:$E$26,2,FALSE),"")</f>
        <v>Sneha Joshi</v>
      </c>
      <c r="O475" s="1" t="str">
        <f>IFERROR(INDEX(Agents!$D$2:$D$26,MATCH(C475,Agents!$A$2:$A$26,0)),"")</f>
        <v>Escalations</v>
      </c>
      <c r="P475" s="1" t="str">
        <f>IFERROR(VLOOKUP(C475,Agents!$A$2:$E$26,3,FALSE),"")</f>
        <v>Pallavi Rao</v>
      </c>
      <c r="Q475" s="1" t="str">
        <f>IFERROR(VLOOKUP(C475,Agents!$A$2:$E$26,5,FALSE),"")</f>
        <v>Hyderabad</v>
      </c>
      <c r="R475" s="1">
        <f>IFERROR(VLOOKUP(F475,#REF!,2,FALSE),0)</f>
        <v>0</v>
      </c>
      <c r="S475" s="1" t="str">
        <f t="shared" si="42"/>
        <v>Breached</v>
      </c>
      <c r="T475" s="1" t="str">
        <f t="shared" si="43"/>
        <v>Within Target</v>
      </c>
      <c r="U475" s="1" t="str">
        <f t="shared" si="44"/>
        <v>2025-03</v>
      </c>
      <c r="V475" s="1" t="str">
        <f t="shared" si="45"/>
        <v>Good</v>
      </c>
      <c r="W475" s="1" t="str">
        <f t="shared" si="46"/>
        <v>Needs Coaching</v>
      </c>
      <c r="X475" s="1" t="str">
        <f t="shared" si="47"/>
        <v>Unique</v>
      </c>
    </row>
    <row r="476" spans="1:24" ht="15" customHeight="1">
      <c r="A476" s="1" t="str">
        <f>'Raw Tickets'!$A$476</f>
        <v>T00475</v>
      </c>
      <c r="B476" s="4">
        <f>'Raw Tickets'!$B$476</f>
        <v>45822</v>
      </c>
      <c r="C476" s="1" t="str">
        <f>'Raw Tickets'!$C$476</f>
        <v>A004</v>
      </c>
      <c r="D476" s="1" t="str">
        <f>'Raw Tickets'!$D$476</f>
        <v>Chat</v>
      </c>
      <c r="E476" s="1" t="str">
        <f>'Raw Tickets'!$E$476</f>
        <v>Refund</v>
      </c>
      <c r="F476" s="1" t="str">
        <f>'Raw Tickets'!$F$476</f>
        <v>Medium</v>
      </c>
      <c r="G476" s="1">
        <f>'Raw Tickets'!$G$476</f>
        <v>18</v>
      </c>
      <c r="H476" s="1">
        <f>'Raw Tickets'!$H$476</f>
        <v>68</v>
      </c>
      <c r="I476" s="1">
        <f>'Raw Tickets'!$I$476</f>
        <v>4</v>
      </c>
      <c r="J476" s="6">
        <f>'Raw Tickets'!$J$476</f>
        <v>84.3</v>
      </c>
      <c r="K476" s="1" t="str">
        <f>'Raw Tickets'!$K$476</f>
        <v>Closed</v>
      </c>
      <c r="L476" s="1" t="str">
        <f>'Raw Tickets'!$L$476</f>
        <v>Yes</v>
      </c>
      <c r="M476" s="1" t="str">
        <f>'Raw Tickets'!$M$476</f>
        <v>No</v>
      </c>
      <c r="N476" s="1" t="str">
        <f>IFERROR(VLOOKUP(C476,Agents!$A$2:$E$26,2,FALSE),"")</f>
        <v>Arjun Agarwal</v>
      </c>
      <c r="O476" s="1" t="str">
        <f>IFERROR(INDEX(Agents!$D$2:$D$26,MATCH(C476,Agents!$A$2:$A$26,0)),"")</f>
        <v>Email Support</v>
      </c>
      <c r="P476" s="1" t="str">
        <f>IFERROR(VLOOKUP(C476,Agents!$A$2:$E$26,3,FALSE),"")</f>
        <v>Aman Verma</v>
      </c>
      <c r="Q476" s="1" t="str">
        <f>IFERROR(VLOOKUP(C476,Agents!$A$2:$E$26,5,FALSE),"")</f>
        <v>Bengaluru</v>
      </c>
      <c r="R476" s="1">
        <f>IFERROR(VLOOKUP(F476,#REF!,2,FALSE),0)</f>
        <v>0</v>
      </c>
      <c r="S476" s="1" t="str">
        <f t="shared" si="42"/>
        <v>Breached</v>
      </c>
      <c r="T476" s="1" t="str">
        <f t="shared" si="43"/>
        <v>Late</v>
      </c>
      <c r="U476" s="1" t="str">
        <f t="shared" si="44"/>
        <v>2025-06</v>
      </c>
      <c r="V476" s="1" t="str">
        <f t="shared" si="45"/>
        <v>Good</v>
      </c>
      <c r="W476" s="1" t="str">
        <f t="shared" si="46"/>
        <v>Needs Coaching</v>
      </c>
      <c r="X476" s="1" t="str">
        <f t="shared" si="47"/>
        <v>Unique</v>
      </c>
    </row>
    <row r="477" spans="1:24" ht="15" customHeight="1">
      <c r="A477" s="1" t="str">
        <f>'Raw Tickets'!$A$477</f>
        <v>T00476</v>
      </c>
      <c r="B477" s="4">
        <f>'Raw Tickets'!$B$477</f>
        <v>45756</v>
      </c>
      <c r="C477" s="1" t="str">
        <f>'Raw Tickets'!$C$477</f>
        <v>A010</v>
      </c>
      <c r="D477" s="1" t="str">
        <f>'Raw Tickets'!$D$477</f>
        <v>Chat</v>
      </c>
      <c r="E477" s="1" t="str">
        <f>'Raw Tickets'!$E$477</f>
        <v>Account Issue</v>
      </c>
      <c r="F477" s="1" t="str">
        <f>'Raw Tickets'!$F$477</f>
        <v>Low</v>
      </c>
      <c r="G477" s="1">
        <f>'Raw Tickets'!$G$477</f>
        <v>51.1</v>
      </c>
      <c r="H477" s="1">
        <f>'Raw Tickets'!$H$477</f>
        <v>75</v>
      </c>
      <c r="I477" s="1">
        <f>'Raw Tickets'!$I$477</f>
        <v>4</v>
      </c>
      <c r="J477" s="6">
        <f>'Raw Tickets'!$J$477</f>
        <v>100</v>
      </c>
      <c r="K477" s="1" t="str">
        <f>'Raw Tickets'!$K$477</f>
        <v>Closed</v>
      </c>
      <c r="L477" s="1" t="str">
        <f>'Raw Tickets'!$L$477</f>
        <v>No</v>
      </c>
      <c r="M477" s="1" t="str">
        <f>'Raw Tickets'!$M$477</f>
        <v>No</v>
      </c>
      <c r="N477" s="1" t="str">
        <f>IFERROR(VLOOKUP(C477,Agents!$A$2:$E$26,2,FALSE),"")</f>
        <v>Ananya Gupta</v>
      </c>
      <c r="O477" s="1" t="str">
        <f>IFERROR(INDEX(Agents!$D$2:$D$26,MATCH(C477,Agents!$A$2:$A$26,0)),"")</f>
        <v>Voice Support</v>
      </c>
      <c r="P477" s="1" t="str">
        <f>IFERROR(VLOOKUP(C477,Agents!$A$2:$E$26,3,FALSE),"")</f>
        <v>Kritika Shah</v>
      </c>
      <c r="Q477" s="1" t="str">
        <f>IFERROR(VLOOKUP(C477,Agents!$A$2:$E$26,5,FALSE),"")</f>
        <v>Gurugram</v>
      </c>
      <c r="R477" s="1">
        <f>IFERROR(VLOOKUP(F477,#REF!,2,FALSE),0)</f>
        <v>0</v>
      </c>
      <c r="S477" s="1" t="str">
        <f t="shared" si="42"/>
        <v>Breached</v>
      </c>
      <c r="T477" s="1" t="str">
        <f t="shared" si="43"/>
        <v>Late</v>
      </c>
      <c r="U477" s="1" t="str">
        <f t="shared" si="44"/>
        <v>2025-04</v>
      </c>
      <c r="V477" s="1" t="str">
        <f t="shared" si="45"/>
        <v>Good</v>
      </c>
      <c r="W477" s="1" t="str">
        <f t="shared" si="46"/>
        <v>Pass</v>
      </c>
      <c r="X477" s="1" t="str">
        <f t="shared" si="47"/>
        <v>Unique</v>
      </c>
    </row>
    <row r="478" spans="1:24" ht="15" customHeight="1">
      <c r="A478" s="1" t="str">
        <f>'Raw Tickets'!$A$478</f>
        <v>T00477</v>
      </c>
      <c r="B478" s="4">
        <f>'Raw Tickets'!$B$478</f>
        <v>45681</v>
      </c>
      <c r="C478" s="1" t="str">
        <f>'Raw Tickets'!$C$478</f>
        <v>A002</v>
      </c>
      <c r="D478" s="1" t="str">
        <f>'Raw Tickets'!$D$478</f>
        <v>Call</v>
      </c>
      <c r="E478" s="1" t="str">
        <f>'Raw Tickets'!$E$478</f>
        <v>Product Quality</v>
      </c>
      <c r="F478" s="1" t="str">
        <f>'Raw Tickets'!$F$478</f>
        <v>Medium</v>
      </c>
      <c r="G478" s="1">
        <f>'Raw Tickets'!$G$478</f>
        <v>9.8000000000000007</v>
      </c>
      <c r="H478" s="1">
        <f>'Raw Tickets'!$H$478</f>
        <v>51</v>
      </c>
      <c r="I478" s="1">
        <f>'Raw Tickets'!$I$478</f>
        <v>2</v>
      </c>
      <c r="J478" s="6">
        <f>'Raw Tickets'!$J$478</f>
        <v>89.6</v>
      </c>
      <c r="K478" s="1" t="str">
        <f>'Raw Tickets'!$K$478</f>
        <v>Closed</v>
      </c>
      <c r="L478" s="1" t="str">
        <f>'Raw Tickets'!$L$478</f>
        <v>No</v>
      </c>
      <c r="M478" s="1" t="str">
        <f>'Raw Tickets'!$M$478</f>
        <v>No</v>
      </c>
      <c r="N478" s="1" t="str">
        <f>IFERROR(VLOOKUP(C478,Agents!$A$2:$E$26,2,FALSE),"")</f>
        <v>Gaurav Khan</v>
      </c>
      <c r="O478" s="1" t="str">
        <f>IFERROR(INDEX(Agents!$D$2:$D$26,MATCH(C478,Agents!$A$2:$A$26,0)),"")</f>
        <v>Email Support</v>
      </c>
      <c r="P478" s="1" t="str">
        <f>IFERROR(VLOOKUP(C478,Agents!$A$2:$E$26,3,FALSE),"")</f>
        <v>Aman Verma</v>
      </c>
      <c r="Q478" s="1" t="str">
        <f>IFERROR(VLOOKUP(C478,Agents!$A$2:$E$26,5,FALSE),"")</f>
        <v>Noida</v>
      </c>
      <c r="R478" s="1">
        <f>IFERROR(VLOOKUP(F478,#REF!,2,FALSE),0)</f>
        <v>0</v>
      </c>
      <c r="S478" s="1" t="str">
        <f t="shared" si="42"/>
        <v>Breached</v>
      </c>
      <c r="T478" s="1" t="str">
        <f t="shared" si="43"/>
        <v>Late</v>
      </c>
      <c r="U478" s="1" t="str">
        <f t="shared" si="44"/>
        <v>2025-01</v>
      </c>
      <c r="V478" s="1" t="str">
        <f t="shared" si="45"/>
        <v>Poor</v>
      </c>
      <c r="W478" s="1" t="str">
        <f t="shared" si="46"/>
        <v>Pass</v>
      </c>
      <c r="X478" s="1" t="str">
        <f t="shared" si="47"/>
        <v>Unique</v>
      </c>
    </row>
    <row r="479" spans="1:24" ht="15" customHeight="1">
      <c r="A479" s="1" t="str">
        <f>'Raw Tickets'!$A$479</f>
        <v>T00478</v>
      </c>
      <c r="B479" s="4">
        <f>'Raw Tickets'!$B$479</f>
        <v>45747</v>
      </c>
      <c r="C479" s="1" t="str">
        <f>'Raw Tickets'!$C$479</f>
        <v>A013</v>
      </c>
      <c r="D479" s="1" t="str">
        <f>'Raw Tickets'!$D$479</f>
        <v>Call</v>
      </c>
      <c r="E479" s="1" t="str">
        <f>'Raw Tickets'!$E$479</f>
        <v>Refund</v>
      </c>
      <c r="F479" s="1" t="str">
        <f>'Raw Tickets'!$F$479</f>
        <v>High</v>
      </c>
      <c r="G479" s="1">
        <f>'Raw Tickets'!$G$479</f>
        <v>17.399999999999999</v>
      </c>
      <c r="H479" s="1">
        <f>'Raw Tickets'!$H$479</f>
        <v>60</v>
      </c>
      <c r="I479" s="1">
        <f>'Raw Tickets'!$I$479</f>
        <v>1</v>
      </c>
      <c r="J479" s="6">
        <f>'Raw Tickets'!$J$479</f>
        <v>84.1</v>
      </c>
      <c r="K479" s="1" t="str">
        <f>'Raw Tickets'!$K$479</f>
        <v>Closed</v>
      </c>
      <c r="L479" s="1" t="str">
        <f>'Raw Tickets'!$L$479</f>
        <v>Yes</v>
      </c>
      <c r="M479" s="1" t="str">
        <f>'Raw Tickets'!$M$479</f>
        <v>No</v>
      </c>
      <c r="N479" s="1" t="str">
        <f>IFERROR(VLOOKUP(C479,Agents!$A$2:$E$26,2,FALSE),"")</f>
        <v>Ananya Jain</v>
      </c>
      <c r="O479" s="1" t="str">
        <f>IFERROR(INDEX(Agents!$D$2:$D$26,MATCH(C479,Agents!$A$2:$A$26,0)),"")</f>
        <v>Chat Support</v>
      </c>
      <c r="P479" s="1" t="str">
        <f>IFERROR(VLOOKUP(C479,Agents!$A$2:$E$26,3,FALSE),"")</f>
        <v>Nitin Gupta</v>
      </c>
      <c r="Q479" s="1" t="str">
        <f>IFERROR(VLOOKUP(C479,Agents!$A$2:$E$26,5,FALSE),"")</f>
        <v>Hyderabad</v>
      </c>
      <c r="R479" s="1">
        <f>IFERROR(VLOOKUP(F479,#REF!,2,FALSE),0)</f>
        <v>0</v>
      </c>
      <c r="S479" s="1" t="str">
        <f t="shared" si="42"/>
        <v>Breached</v>
      </c>
      <c r="T479" s="1" t="str">
        <f t="shared" si="43"/>
        <v>Late</v>
      </c>
      <c r="U479" s="1" t="str">
        <f t="shared" si="44"/>
        <v>2025-03</v>
      </c>
      <c r="V479" s="1" t="str">
        <f t="shared" si="45"/>
        <v>Poor</v>
      </c>
      <c r="W479" s="1" t="str">
        <f t="shared" si="46"/>
        <v>Needs Coaching</v>
      </c>
      <c r="X479" s="1" t="str">
        <f t="shared" si="47"/>
        <v>Unique</v>
      </c>
    </row>
    <row r="480" spans="1:24" ht="15" customHeight="1">
      <c r="A480" s="1" t="str">
        <f>'Raw Tickets'!$A$480</f>
        <v>T00479</v>
      </c>
      <c r="B480" s="4">
        <f>'Raw Tickets'!$B$480</f>
        <v>45858</v>
      </c>
      <c r="C480" s="1" t="str">
        <f>'Raw Tickets'!$C$480</f>
        <v>A006</v>
      </c>
      <c r="D480" s="1" t="str">
        <f>'Raw Tickets'!$D$480</f>
        <v>Email</v>
      </c>
      <c r="E480" s="1" t="str">
        <f>'Raw Tickets'!$E$480</f>
        <v>Payment Failure</v>
      </c>
      <c r="F480" s="1" t="str">
        <f>'Raw Tickets'!$F$480</f>
        <v>Low</v>
      </c>
      <c r="G480" s="1">
        <f>'Raw Tickets'!$G$480</f>
        <v>17.2</v>
      </c>
      <c r="H480" s="1">
        <f>'Raw Tickets'!$H$480</f>
        <v>28</v>
      </c>
      <c r="I480" s="1">
        <f>'Raw Tickets'!$I$480</f>
        <v>4</v>
      </c>
      <c r="J480" s="6">
        <f>'Raw Tickets'!$J$480</f>
        <v>81.3</v>
      </c>
      <c r="K480" s="1" t="str">
        <f>'Raw Tickets'!$K$480</f>
        <v>Closed</v>
      </c>
      <c r="L480" s="1" t="str">
        <f>'Raw Tickets'!$L$480</f>
        <v>No</v>
      </c>
      <c r="M480" s="1" t="str">
        <f>'Raw Tickets'!$M$480</f>
        <v>No</v>
      </c>
      <c r="N480" s="1" t="str">
        <f>IFERROR(VLOOKUP(C480,Agents!$A$2:$E$26,2,FALSE),"")</f>
        <v>Divya Shah</v>
      </c>
      <c r="O480" s="1" t="str">
        <f>IFERROR(INDEX(Agents!$D$2:$D$26,MATCH(C480,Agents!$A$2:$A$26,0)),"")</f>
        <v>Voice Support</v>
      </c>
      <c r="P480" s="1" t="str">
        <f>IFERROR(VLOOKUP(C480,Agents!$A$2:$E$26,3,FALSE),"")</f>
        <v>Kritika Shah</v>
      </c>
      <c r="Q480" s="1" t="str">
        <f>IFERROR(VLOOKUP(C480,Agents!$A$2:$E$26,5,FALSE),"")</f>
        <v>Gurugram</v>
      </c>
      <c r="R480" s="1">
        <f>IFERROR(VLOOKUP(F480,#REF!,2,FALSE),0)</f>
        <v>0</v>
      </c>
      <c r="S480" s="1" t="str">
        <f t="shared" si="42"/>
        <v>Breached</v>
      </c>
      <c r="T480" s="1" t="str">
        <f t="shared" si="43"/>
        <v>Within Target</v>
      </c>
      <c r="U480" s="1" t="str">
        <f t="shared" si="44"/>
        <v>2025-07</v>
      </c>
      <c r="V480" s="1" t="str">
        <f t="shared" si="45"/>
        <v>Good</v>
      </c>
      <c r="W480" s="1" t="str">
        <f t="shared" si="46"/>
        <v>Needs Coaching</v>
      </c>
      <c r="X480" s="1" t="str">
        <f t="shared" si="47"/>
        <v>Unique</v>
      </c>
    </row>
    <row r="481" spans="1:24" ht="15" customHeight="1">
      <c r="A481" s="1" t="str">
        <f>'Raw Tickets'!$A$481</f>
        <v>T00480</v>
      </c>
      <c r="B481" s="4">
        <f>'Raw Tickets'!$B$481</f>
        <v>45867</v>
      </c>
      <c r="C481" s="1" t="str">
        <f>'Raw Tickets'!$C$481</f>
        <v>A006</v>
      </c>
      <c r="D481" s="1" t="str">
        <f>'Raw Tickets'!$D$481</f>
        <v>Call</v>
      </c>
      <c r="E481" s="1" t="str">
        <f>'Raw Tickets'!$E$481</f>
        <v>Refund</v>
      </c>
      <c r="F481" s="1" t="str">
        <f>'Raw Tickets'!$F$481</f>
        <v>Low</v>
      </c>
      <c r="G481" s="1">
        <f>'Raw Tickets'!$G$481</f>
        <v>44.7</v>
      </c>
      <c r="H481" s="1">
        <f>'Raw Tickets'!$H$481</f>
        <v>17</v>
      </c>
      <c r="I481" s="1">
        <f>'Raw Tickets'!$I$481</f>
        <v>5</v>
      </c>
      <c r="J481" s="6">
        <f>'Raw Tickets'!$J$481</f>
        <v>82.9</v>
      </c>
      <c r="K481" s="1" t="str">
        <f>'Raw Tickets'!$K$481</f>
        <v>Closed</v>
      </c>
      <c r="L481" s="1" t="str">
        <f>'Raw Tickets'!$L$481</f>
        <v>No</v>
      </c>
      <c r="M481" s="1" t="str">
        <f>'Raw Tickets'!$M$481</f>
        <v>No</v>
      </c>
      <c r="N481" s="1" t="str">
        <f>IFERROR(VLOOKUP(C481,Agents!$A$2:$E$26,2,FALSE),"")</f>
        <v>Divya Shah</v>
      </c>
      <c r="O481" s="1" t="str">
        <f>IFERROR(INDEX(Agents!$D$2:$D$26,MATCH(C481,Agents!$A$2:$A$26,0)),"")</f>
        <v>Voice Support</v>
      </c>
      <c r="P481" s="1" t="str">
        <f>IFERROR(VLOOKUP(C481,Agents!$A$2:$E$26,3,FALSE),"")</f>
        <v>Kritika Shah</v>
      </c>
      <c r="Q481" s="1" t="str">
        <f>IFERROR(VLOOKUP(C481,Agents!$A$2:$E$26,5,FALSE),"")</f>
        <v>Gurugram</v>
      </c>
      <c r="R481" s="1">
        <f>IFERROR(VLOOKUP(F481,#REF!,2,FALSE),0)</f>
        <v>0</v>
      </c>
      <c r="S481" s="1" t="str">
        <f t="shared" si="42"/>
        <v>Breached</v>
      </c>
      <c r="T481" s="1" t="str">
        <f t="shared" si="43"/>
        <v>Within Target</v>
      </c>
      <c r="U481" s="1" t="str">
        <f t="shared" si="44"/>
        <v>2025-07</v>
      </c>
      <c r="V481" s="1" t="str">
        <f t="shared" si="45"/>
        <v>Good</v>
      </c>
      <c r="W481" s="1" t="str">
        <f t="shared" si="46"/>
        <v>Needs Coaching</v>
      </c>
      <c r="X481" s="1" t="str">
        <f t="shared" si="47"/>
        <v>Unique</v>
      </c>
    </row>
    <row r="482" spans="1:24" ht="15" customHeight="1">
      <c r="A482" s="1" t="str">
        <f>'Raw Tickets'!$A$482</f>
        <v>T00481</v>
      </c>
      <c r="B482" s="4">
        <f>'Raw Tickets'!$B$482</f>
        <v>45833</v>
      </c>
      <c r="C482" s="1" t="str">
        <f>'Raw Tickets'!$C$482</f>
        <v>A009</v>
      </c>
      <c r="D482" s="1" t="str">
        <f>'Raw Tickets'!$D$482</f>
        <v>Email</v>
      </c>
      <c r="E482" s="1" t="str">
        <f>'Raw Tickets'!$E$482</f>
        <v>Account Issue</v>
      </c>
      <c r="F482" s="1" t="str">
        <f>'Raw Tickets'!$F$482</f>
        <v>High</v>
      </c>
      <c r="G482" s="1">
        <f>'Raw Tickets'!$G$482</f>
        <v>13.4</v>
      </c>
      <c r="H482" s="1">
        <f>'Raw Tickets'!$H$482</f>
        <v>21</v>
      </c>
      <c r="I482" s="1">
        <f>'Raw Tickets'!$I$482</f>
        <v>4</v>
      </c>
      <c r="J482" s="6">
        <f>'Raw Tickets'!$J$482</f>
        <v>81.900000000000006</v>
      </c>
      <c r="K482" s="1" t="str">
        <f>'Raw Tickets'!$K$482</f>
        <v>Closed</v>
      </c>
      <c r="L482" s="1" t="str">
        <f>'Raw Tickets'!$L$482</f>
        <v>No</v>
      </c>
      <c r="M482" s="1" t="str">
        <f>'Raw Tickets'!$M$482</f>
        <v>Yes</v>
      </c>
      <c r="N482" s="1" t="str">
        <f>IFERROR(VLOOKUP(C482,Agents!$A$2:$E$26,2,FALSE),"")</f>
        <v>Divya Mehta</v>
      </c>
      <c r="O482" s="1" t="str">
        <f>IFERROR(INDEX(Agents!$D$2:$D$26,MATCH(C482,Agents!$A$2:$A$26,0)),"")</f>
        <v>Voice Support</v>
      </c>
      <c r="P482" s="1" t="str">
        <f>IFERROR(VLOOKUP(C482,Agents!$A$2:$E$26,3,FALSE),"")</f>
        <v>Kritika Shah</v>
      </c>
      <c r="Q482" s="1" t="str">
        <f>IFERROR(VLOOKUP(C482,Agents!$A$2:$E$26,5,FALSE),"")</f>
        <v>Gurugram</v>
      </c>
      <c r="R482" s="1">
        <f>IFERROR(VLOOKUP(F482,#REF!,2,FALSE),0)</f>
        <v>0</v>
      </c>
      <c r="S482" s="1" t="str">
        <f t="shared" si="42"/>
        <v>Breached</v>
      </c>
      <c r="T482" s="1" t="str">
        <f t="shared" si="43"/>
        <v>Within Target</v>
      </c>
      <c r="U482" s="1" t="str">
        <f t="shared" si="44"/>
        <v>2025-06</v>
      </c>
      <c r="V482" s="1" t="str">
        <f t="shared" si="45"/>
        <v>Good</v>
      </c>
      <c r="W482" s="1" t="str">
        <f t="shared" si="46"/>
        <v>Needs Coaching</v>
      </c>
      <c r="X482" s="1" t="str">
        <f t="shared" si="47"/>
        <v>Unique</v>
      </c>
    </row>
    <row r="483" spans="1:24" ht="15" customHeight="1">
      <c r="A483" s="1" t="str">
        <f>'Raw Tickets'!$A$483</f>
        <v>T00482</v>
      </c>
      <c r="B483" s="4">
        <f>'Raw Tickets'!$B$483</f>
        <v>46010</v>
      </c>
      <c r="C483" s="1" t="str">
        <f>'Raw Tickets'!$C$483</f>
        <v>A011</v>
      </c>
      <c r="D483" s="1" t="str">
        <f>'Raw Tickets'!$D$483</f>
        <v>Call</v>
      </c>
      <c r="E483" s="1" t="str">
        <f>'Raw Tickets'!$E$483</f>
        <v>Account Issue</v>
      </c>
      <c r="F483" s="1" t="str">
        <f>'Raw Tickets'!$F$483</f>
        <v>Medium</v>
      </c>
      <c r="G483" s="1">
        <f>'Raw Tickets'!$G$483</f>
        <v>10.9</v>
      </c>
      <c r="H483" s="1">
        <f>'Raw Tickets'!$H$483</f>
        <v>41</v>
      </c>
      <c r="I483" s="1">
        <f>'Raw Tickets'!$I$483</f>
        <v>4</v>
      </c>
      <c r="J483" s="6">
        <f>'Raw Tickets'!$J$483</f>
        <v>87.6</v>
      </c>
      <c r="K483" s="1" t="str">
        <f>'Raw Tickets'!$K$483</f>
        <v>Closed</v>
      </c>
      <c r="L483" s="1" t="str">
        <f>'Raw Tickets'!$L$483</f>
        <v>No</v>
      </c>
      <c r="M483" s="1" t="str">
        <f>'Raw Tickets'!$M$483</f>
        <v>No</v>
      </c>
      <c r="N483" s="1" t="str">
        <f>IFERROR(VLOOKUP(C483,Agents!$A$2:$E$26,2,FALSE),"")</f>
        <v>Shreya Singh</v>
      </c>
      <c r="O483" s="1" t="str">
        <f>IFERROR(INDEX(Agents!$D$2:$D$26,MATCH(C483,Agents!$A$2:$A$26,0)),"")</f>
        <v>Chat Support</v>
      </c>
      <c r="P483" s="1" t="str">
        <f>IFERROR(VLOOKUP(C483,Agents!$A$2:$E$26,3,FALSE),"")</f>
        <v>Nitin Gupta</v>
      </c>
      <c r="Q483" s="1" t="str">
        <f>IFERROR(VLOOKUP(C483,Agents!$A$2:$E$26,5,FALSE),"")</f>
        <v>Noida</v>
      </c>
      <c r="R483" s="1">
        <f>IFERROR(VLOOKUP(F483,#REF!,2,FALSE),0)</f>
        <v>0</v>
      </c>
      <c r="S483" s="1" t="str">
        <f t="shared" si="42"/>
        <v>Breached</v>
      </c>
      <c r="T483" s="1" t="str">
        <f t="shared" si="43"/>
        <v>Late</v>
      </c>
      <c r="U483" s="1" t="str">
        <f t="shared" si="44"/>
        <v>2025-12</v>
      </c>
      <c r="V483" s="1" t="str">
        <f t="shared" si="45"/>
        <v>Good</v>
      </c>
      <c r="W483" s="1" t="str">
        <f t="shared" si="46"/>
        <v>Pass</v>
      </c>
      <c r="X483" s="1" t="str">
        <f t="shared" si="47"/>
        <v>Unique</v>
      </c>
    </row>
    <row r="484" spans="1:24" ht="15" customHeight="1">
      <c r="A484" s="1" t="str">
        <f>'Raw Tickets'!$A$484</f>
        <v>T00483</v>
      </c>
      <c r="B484" s="4">
        <f>'Raw Tickets'!$B$484</f>
        <v>45983</v>
      </c>
      <c r="C484" s="1" t="str">
        <f>'Raw Tickets'!$C$484</f>
        <v>A006</v>
      </c>
      <c r="D484" s="1" t="str">
        <f>'Raw Tickets'!$D$484</f>
        <v>Call</v>
      </c>
      <c r="E484" s="1" t="str">
        <f>'Raw Tickets'!$E$484</f>
        <v>Payment Failure</v>
      </c>
      <c r="F484" s="1" t="str">
        <f>'Raw Tickets'!$F$484</f>
        <v>Medium</v>
      </c>
      <c r="G484" s="1">
        <f>'Raw Tickets'!$G$484</f>
        <v>17.600000000000001</v>
      </c>
      <c r="H484" s="1">
        <f>'Raw Tickets'!$H$484</f>
        <v>61</v>
      </c>
      <c r="I484" s="1">
        <f>'Raw Tickets'!$I$484</f>
        <v>3</v>
      </c>
      <c r="J484" s="6">
        <f>'Raw Tickets'!$J$484</f>
        <v>89.4</v>
      </c>
      <c r="K484" s="1" t="str">
        <f>'Raw Tickets'!$K$484</f>
        <v>Closed</v>
      </c>
      <c r="L484" s="1" t="str">
        <f>'Raw Tickets'!$L$484</f>
        <v>No</v>
      </c>
      <c r="M484" s="1" t="str">
        <f>'Raw Tickets'!$M$484</f>
        <v>No</v>
      </c>
      <c r="N484" s="1" t="str">
        <f>IFERROR(VLOOKUP(C484,Agents!$A$2:$E$26,2,FALSE),"")</f>
        <v>Divya Shah</v>
      </c>
      <c r="O484" s="1" t="str">
        <f>IFERROR(INDEX(Agents!$D$2:$D$26,MATCH(C484,Agents!$A$2:$A$26,0)),"")</f>
        <v>Voice Support</v>
      </c>
      <c r="P484" s="1" t="str">
        <f>IFERROR(VLOOKUP(C484,Agents!$A$2:$E$26,3,FALSE),"")</f>
        <v>Kritika Shah</v>
      </c>
      <c r="Q484" s="1" t="str">
        <f>IFERROR(VLOOKUP(C484,Agents!$A$2:$E$26,5,FALSE),"")</f>
        <v>Gurugram</v>
      </c>
      <c r="R484" s="1">
        <f>IFERROR(VLOOKUP(F484,#REF!,2,FALSE),0)</f>
        <v>0</v>
      </c>
      <c r="S484" s="1" t="str">
        <f t="shared" si="42"/>
        <v>Breached</v>
      </c>
      <c r="T484" s="1" t="str">
        <f t="shared" si="43"/>
        <v>Late</v>
      </c>
      <c r="U484" s="1" t="str">
        <f t="shared" si="44"/>
        <v>2025-11</v>
      </c>
      <c r="V484" s="1" t="str">
        <f t="shared" si="45"/>
        <v>Average</v>
      </c>
      <c r="W484" s="1" t="str">
        <f t="shared" si="46"/>
        <v>Pass</v>
      </c>
      <c r="X484" s="1" t="str">
        <f t="shared" si="47"/>
        <v>Unique</v>
      </c>
    </row>
    <row r="485" spans="1:24" ht="15" customHeight="1">
      <c r="A485" s="1" t="str">
        <f>'Raw Tickets'!$A$485</f>
        <v>T00484</v>
      </c>
      <c r="B485" s="4">
        <f>'Raw Tickets'!$B$485</f>
        <v>45884</v>
      </c>
      <c r="C485" s="1" t="str">
        <f>'Raw Tickets'!$C$485</f>
        <v>A010</v>
      </c>
      <c r="D485" s="1" t="str">
        <f>'Raw Tickets'!$D$485</f>
        <v>Email</v>
      </c>
      <c r="E485" s="1" t="str">
        <f>'Raw Tickets'!$E$485</f>
        <v>Payment Failure</v>
      </c>
      <c r="F485" s="1" t="str">
        <f>'Raw Tickets'!$F$485</f>
        <v>Low</v>
      </c>
      <c r="G485" s="1">
        <f>'Raw Tickets'!$G$485</f>
        <v>52.7</v>
      </c>
      <c r="H485" s="1">
        <f>'Raw Tickets'!$H$485</f>
        <v>40</v>
      </c>
      <c r="I485" s="1">
        <f>'Raw Tickets'!$I$485</f>
        <v>4</v>
      </c>
      <c r="J485" s="6">
        <f>'Raw Tickets'!$J$485</f>
        <v>69.400000000000006</v>
      </c>
      <c r="K485" s="1" t="str">
        <f>'Raw Tickets'!$K$485</f>
        <v>Closed</v>
      </c>
      <c r="L485" s="1" t="str">
        <f>'Raw Tickets'!$L$485</f>
        <v>No</v>
      </c>
      <c r="M485" s="1" t="str">
        <f>'Raw Tickets'!$M$485</f>
        <v>No</v>
      </c>
      <c r="N485" s="1" t="str">
        <f>IFERROR(VLOOKUP(C485,Agents!$A$2:$E$26,2,FALSE),"")</f>
        <v>Ananya Gupta</v>
      </c>
      <c r="O485" s="1" t="str">
        <f>IFERROR(INDEX(Agents!$D$2:$D$26,MATCH(C485,Agents!$A$2:$A$26,0)),"")</f>
        <v>Voice Support</v>
      </c>
      <c r="P485" s="1" t="str">
        <f>IFERROR(VLOOKUP(C485,Agents!$A$2:$E$26,3,FALSE),"")</f>
        <v>Kritika Shah</v>
      </c>
      <c r="Q485" s="1" t="str">
        <f>IFERROR(VLOOKUP(C485,Agents!$A$2:$E$26,5,FALSE),"")</f>
        <v>Gurugram</v>
      </c>
      <c r="R485" s="1">
        <f>IFERROR(VLOOKUP(F485,#REF!,2,FALSE),0)</f>
        <v>0</v>
      </c>
      <c r="S485" s="1" t="str">
        <f t="shared" si="42"/>
        <v>Breached</v>
      </c>
      <c r="T485" s="1" t="str">
        <f t="shared" si="43"/>
        <v>Late</v>
      </c>
      <c r="U485" s="1" t="str">
        <f t="shared" si="44"/>
        <v>2025-08</v>
      </c>
      <c r="V485" s="1" t="str">
        <f t="shared" si="45"/>
        <v>Good</v>
      </c>
      <c r="W485" s="1" t="str">
        <f t="shared" si="46"/>
        <v>Needs Coaching</v>
      </c>
      <c r="X485" s="1" t="str">
        <f t="shared" si="47"/>
        <v>Unique</v>
      </c>
    </row>
    <row r="486" spans="1:24" ht="15" customHeight="1">
      <c r="A486" s="1" t="str">
        <f>'Raw Tickets'!$A$486</f>
        <v>T00485</v>
      </c>
      <c r="B486" s="4">
        <f>'Raw Tickets'!$B$486</f>
        <v>45849</v>
      </c>
      <c r="C486" s="1" t="str">
        <f>'Raw Tickets'!$C$486</f>
        <v>A009</v>
      </c>
      <c r="D486" s="1" t="str">
        <f>'Raw Tickets'!$D$486</f>
        <v>Chat</v>
      </c>
      <c r="E486" s="1" t="str">
        <f>'Raw Tickets'!$E$486</f>
        <v>Delivery Delay</v>
      </c>
      <c r="F486" s="1" t="str">
        <f>'Raw Tickets'!$F$486</f>
        <v>High</v>
      </c>
      <c r="G486" s="1">
        <f>'Raw Tickets'!$G$486</f>
        <v>1.3</v>
      </c>
      <c r="H486" s="1">
        <f>'Raw Tickets'!$H$486</f>
        <v>37</v>
      </c>
      <c r="I486" s="1">
        <f>'Raw Tickets'!$I$486</f>
        <v>4</v>
      </c>
      <c r="J486" s="6">
        <f>'Raw Tickets'!$J$486</f>
        <v>85.7</v>
      </c>
      <c r="K486" s="1" t="str">
        <f>'Raw Tickets'!$K$486</f>
        <v>Closed</v>
      </c>
      <c r="L486" s="1" t="str">
        <f>'Raw Tickets'!$L$486</f>
        <v>No</v>
      </c>
      <c r="M486" s="1" t="str">
        <f>'Raw Tickets'!$M$486</f>
        <v>Yes</v>
      </c>
      <c r="N486" s="1" t="str">
        <f>IFERROR(VLOOKUP(C486,Agents!$A$2:$E$26,2,FALSE),"")</f>
        <v>Divya Mehta</v>
      </c>
      <c r="O486" s="1" t="str">
        <f>IFERROR(INDEX(Agents!$D$2:$D$26,MATCH(C486,Agents!$A$2:$A$26,0)),"")</f>
        <v>Voice Support</v>
      </c>
      <c r="P486" s="1" t="str">
        <f>IFERROR(VLOOKUP(C486,Agents!$A$2:$E$26,3,FALSE),"")</f>
        <v>Kritika Shah</v>
      </c>
      <c r="Q486" s="1" t="str">
        <f>IFERROR(VLOOKUP(C486,Agents!$A$2:$E$26,5,FALSE),"")</f>
        <v>Gurugram</v>
      </c>
      <c r="R486" s="1">
        <f>IFERROR(VLOOKUP(F486,#REF!,2,FALSE),0)</f>
        <v>0</v>
      </c>
      <c r="S486" s="1" t="str">
        <f t="shared" si="42"/>
        <v>Breached</v>
      </c>
      <c r="T486" s="1" t="str">
        <f t="shared" si="43"/>
        <v>Late</v>
      </c>
      <c r="U486" s="1" t="str">
        <f t="shared" si="44"/>
        <v>2025-07</v>
      </c>
      <c r="V486" s="1" t="str">
        <f t="shared" si="45"/>
        <v>Good</v>
      </c>
      <c r="W486" s="1" t="str">
        <f t="shared" si="46"/>
        <v>Pass</v>
      </c>
      <c r="X486" s="1" t="str">
        <f t="shared" si="47"/>
        <v>Unique</v>
      </c>
    </row>
    <row r="487" spans="1:24" ht="15" customHeight="1">
      <c r="A487" s="1" t="str">
        <f>'Raw Tickets'!$A$487</f>
        <v>T00486</v>
      </c>
      <c r="B487" s="4">
        <f>'Raw Tickets'!$B$487</f>
        <v>45950</v>
      </c>
      <c r="C487" s="1" t="str">
        <f>'Raw Tickets'!$C$487</f>
        <v>A017</v>
      </c>
      <c r="D487" s="1" t="str">
        <f>'Raw Tickets'!$D$487</f>
        <v>Chat</v>
      </c>
      <c r="E487" s="1" t="str">
        <f>'Raw Tickets'!$E$487</f>
        <v>Refund</v>
      </c>
      <c r="F487" s="1" t="str">
        <f>'Raw Tickets'!$F$487</f>
        <v>Medium</v>
      </c>
      <c r="G487" s="1">
        <f>'Raw Tickets'!$G$487</f>
        <v>25.1</v>
      </c>
      <c r="H487" s="1">
        <f>'Raw Tickets'!$H$487</f>
        <v>60</v>
      </c>
      <c r="I487" s="1">
        <f>'Raw Tickets'!$I$487</f>
        <v>3</v>
      </c>
      <c r="J487" s="6">
        <f>'Raw Tickets'!$J$487</f>
        <v>82.6</v>
      </c>
      <c r="K487" s="1" t="str">
        <f>'Raw Tickets'!$K$487</f>
        <v>Closed</v>
      </c>
      <c r="L487" s="1" t="str">
        <f>'Raw Tickets'!$L$487</f>
        <v>Yes</v>
      </c>
      <c r="M487" s="1" t="str">
        <f>'Raw Tickets'!$M$487</f>
        <v>No</v>
      </c>
      <c r="N487" s="1" t="str">
        <f>IFERROR(VLOOKUP(C487,Agents!$A$2:$E$26,2,FALSE),"")</f>
        <v>Varun Mehta</v>
      </c>
      <c r="O487" s="1" t="str">
        <f>IFERROR(INDEX(Agents!$D$2:$D$26,MATCH(C487,Agents!$A$2:$A$26,0)),"")</f>
        <v>Escalations</v>
      </c>
      <c r="P487" s="1" t="str">
        <f>IFERROR(VLOOKUP(C487,Agents!$A$2:$E$26,3,FALSE),"")</f>
        <v>Pallavi Rao</v>
      </c>
      <c r="Q487" s="1" t="str">
        <f>IFERROR(VLOOKUP(C487,Agents!$A$2:$E$26,5,FALSE),"")</f>
        <v>Gurugram</v>
      </c>
      <c r="R487" s="1">
        <f>IFERROR(VLOOKUP(F487,#REF!,2,FALSE),0)</f>
        <v>0</v>
      </c>
      <c r="S487" s="1" t="str">
        <f t="shared" si="42"/>
        <v>Breached</v>
      </c>
      <c r="T487" s="1" t="str">
        <f t="shared" si="43"/>
        <v>Late</v>
      </c>
      <c r="U487" s="1" t="str">
        <f t="shared" si="44"/>
        <v>2025-10</v>
      </c>
      <c r="V487" s="1" t="str">
        <f t="shared" si="45"/>
        <v>Average</v>
      </c>
      <c r="W487" s="1" t="str">
        <f t="shared" si="46"/>
        <v>Needs Coaching</v>
      </c>
      <c r="X487" s="1" t="str">
        <f t="shared" si="47"/>
        <v>Unique</v>
      </c>
    </row>
    <row r="488" spans="1:24" ht="15" customHeight="1">
      <c r="A488" s="1" t="str">
        <f>'Raw Tickets'!$A$488</f>
        <v>T00487</v>
      </c>
      <c r="B488" s="4">
        <f>'Raw Tickets'!$B$488</f>
        <v>45794</v>
      </c>
      <c r="C488" s="1" t="str">
        <f>'Raw Tickets'!$C$488</f>
        <v>A007</v>
      </c>
      <c r="D488" s="1" t="str">
        <f>'Raw Tickets'!$D$488</f>
        <v>Call</v>
      </c>
      <c r="E488" s="1" t="str">
        <f>'Raw Tickets'!$E$488</f>
        <v>Refund</v>
      </c>
      <c r="F488" s="1" t="str">
        <f>'Raw Tickets'!$F$488</f>
        <v>Medium</v>
      </c>
      <c r="G488" s="1">
        <f>'Raw Tickets'!$G$488</f>
        <v>25.9</v>
      </c>
      <c r="H488" s="1">
        <f>'Raw Tickets'!$H$488</f>
        <v>1</v>
      </c>
      <c r="I488" s="1">
        <f>'Raw Tickets'!$I$488</f>
        <v>3</v>
      </c>
      <c r="J488" s="6">
        <f>'Raw Tickets'!$J$488</f>
        <v>74.599999999999994</v>
      </c>
      <c r="K488" s="1" t="str">
        <f>'Raw Tickets'!$K$488</f>
        <v>Closed</v>
      </c>
      <c r="L488" s="1" t="str">
        <f>'Raw Tickets'!$L$488</f>
        <v>No</v>
      </c>
      <c r="M488" s="1" t="str">
        <f>'Raw Tickets'!$M$488</f>
        <v>No</v>
      </c>
      <c r="N488" s="1" t="str">
        <f>IFERROR(VLOOKUP(C488,Agents!$A$2:$E$26,2,FALSE),"")</f>
        <v>Kavya Patel</v>
      </c>
      <c r="O488" s="1" t="str">
        <f>IFERROR(INDEX(Agents!$D$2:$D$26,MATCH(C488,Agents!$A$2:$A$26,0)),"")</f>
        <v>Voice Support</v>
      </c>
      <c r="P488" s="1" t="str">
        <f>IFERROR(VLOOKUP(C488,Agents!$A$2:$E$26,3,FALSE),"")</f>
        <v>Kritika Shah</v>
      </c>
      <c r="Q488" s="1" t="str">
        <f>IFERROR(VLOOKUP(C488,Agents!$A$2:$E$26,5,FALSE),"")</f>
        <v>Noida</v>
      </c>
      <c r="R488" s="1">
        <f>IFERROR(VLOOKUP(F488,#REF!,2,FALSE),0)</f>
        <v>0</v>
      </c>
      <c r="S488" s="1" t="str">
        <f t="shared" si="42"/>
        <v>Breached</v>
      </c>
      <c r="T488" s="1" t="str">
        <f t="shared" si="43"/>
        <v>Within Target</v>
      </c>
      <c r="U488" s="1" t="str">
        <f t="shared" si="44"/>
        <v>2025-05</v>
      </c>
      <c r="V488" s="1" t="str">
        <f t="shared" si="45"/>
        <v>Average</v>
      </c>
      <c r="W488" s="1" t="str">
        <f t="shared" si="46"/>
        <v>Needs Coaching</v>
      </c>
      <c r="X488" s="1" t="str">
        <f t="shared" si="47"/>
        <v>Unique</v>
      </c>
    </row>
    <row r="489" spans="1:24" ht="15" customHeight="1">
      <c r="A489" s="1" t="str">
        <f>'Raw Tickets'!$A$489</f>
        <v>T00488</v>
      </c>
      <c r="B489" s="4">
        <f>'Raw Tickets'!$B$489</f>
        <v>45763</v>
      </c>
      <c r="C489" s="1" t="str">
        <f>'Raw Tickets'!$C$489</f>
        <v>A006</v>
      </c>
      <c r="D489" s="1" t="str">
        <f>'Raw Tickets'!$D$489</f>
        <v>Email</v>
      </c>
      <c r="E489" s="1" t="str">
        <f>'Raw Tickets'!$E$489</f>
        <v>Refund</v>
      </c>
      <c r="F489" s="1" t="str">
        <f>'Raw Tickets'!$F$489</f>
        <v>Medium</v>
      </c>
      <c r="G489" s="1">
        <f>'Raw Tickets'!$G$489</f>
        <v>19</v>
      </c>
      <c r="H489" s="1">
        <f>'Raw Tickets'!$H$489</f>
        <v>49</v>
      </c>
      <c r="I489" s="1">
        <f>'Raw Tickets'!$I$489</f>
        <v>3</v>
      </c>
      <c r="J489" s="6">
        <f>'Raw Tickets'!$J$489</f>
        <v>88</v>
      </c>
      <c r="K489" s="1" t="str">
        <f>'Raw Tickets'!$K$489</f>
        <v>Closed</v>
      </c>
      <c r="L489" s="1" t="str">
        <f>'Raw Tickets'!$L$489</f>
        <v>No</v>
      </c>
      <c r="M489" s="1" t="str">
        <f>'Raw Tickets'!$M$489</f>
        <v>No</v>
      </c>
      <c r="N489" s="1" t="str">
        <f>IFERROR(VLOOKUP(C489,Agents!$A$2:$E$26,2,FALSE),"")</f>
        <v>Divya Shah</v>
      </c>
      <c r="O489" s="1" t="str">
        <f>IFERROR(INDEX(Agents!$D$2:$D$26,MATCH(C489,Agents!$A$2:$A$26,0)),"")</f>
        <v>Voice Support</v>
      </c>
      <c r="P489" s="1" t="str">
        <f>IFERROR(VLOOKUP(C489,Agents!$A$2:$E$26,3,FALSE),"")</f>
        <v>Kritika Shah</v>
      </c>
      <c r="Q489" s="1" t="str">
        <f>IFERROR(VLOOKUP(C489,Agents!$A$2:$E$26,5,FALSE),"")</f>
        <v>Gurugram</v>
      </c>
      <c r="R489" s="1">
        <f>IFERROR(VLOOKUP(F489,#REF!,2,FALSE),0)</f>
        <v>0</v>
      </c>
      <c r="S489" s="1" t="str">
        <f t="shared" si="42"/>
        <v>Breached</v>
      </c>
      <c r="T489" s="1" t="str">
        <f t="shared" si="43"/>
        <v>Late</v>
      </c>
      <c r="U489" s="1" t="str">
        <f t="shared" si="44"/>
        <v>2025-04</v>
      </c>
      <c r="V489" s="1" t="str">
        <f t="shared" si="45"/>
        <v>Average</v>
      </c>
      <c r="W489" s="1" t="str">
        <f t="shared" si="46"/>
        <v>Pass</v>
      </c>
      <c r="X489" s="1" t="str">
        <f t="shared" si="47"/>
        <v>Unique</v>
      </c>
    </row>
    <row r="490" spans="1:24" ht="15" customHeight="1">
      <c r="A490" s="1" t="str">
        <f>'Raw Tickets'!$A$490</f>
        <v>T00489</v>
      </c>
      <c r="B490" s="4">
        <f>'Raw Tickets'!$B$490</f>
        <v>45828</v>
      </c>
      <c r="C490" s="1" t="str">
        <f>'Raw Tickets'!$C$490</f>
        <v>A024</v>
      </c>
      <c r="D490" s="1" t="str">
        <f>'Raw Tickets'!$D$490</f>
        <v>Call</v>
      </c>
      <c r="E490" s="1" t="str">
        <f>'Raw Tickets'!$E$490</f>
        <v>Refund</v>
      </c>
      <c r="F490" s="1" t="str">
        <f>'Raw Tickets'!$F$490</f>
        <v>High</v>
      </c>
      <c r="G490" s="1">
        <f>'Raw Tickets'!$G$490</f>
        <v>13.6</v>
      </c>
      <c r="H490" s="1">
        <f>'Raw Tickets'!$H$490</f>
        <v>48</v>
      </c>
      <c r="I490" s="1">
        <f>'Raw Tickets'!$I$490</f>
        <v>4</v>
      </c>
      <c r="J490" s="6">
        <f>'Raw Tickets'!$J$490</f>
        <v>99.3</v>
      </c>
      <c r="K490" s="1" t="str">
        <f>'Raw Tickets'!$K$490</f>
        <v>Closed</v>
      </c>
      <c r="L490" s="1" t="str">
        <f>'Raw Tickets'!$L$490</f>
        <v>No</v>
      </c>
      <c r="M490" s="1" t="str">
        <f>'Raw Tickets'!$M$490</f>
        <v>Yes</v>
      </c>
      <c r="N490" s="1" t="str">
        <f>IFERROR(VLOOKUP(C490,Agents!$A$2:$E$26,2,FALSE),"")</f>
        <v>Rohan Verma</v>
      </c>
      <c r="O490" s="1" t="str">
        <f>IFERROR(INDEX(Agents!$D$2:$D$26,MATCH(C490,Agents!$A$2:$A$26,0)),"")</f>
        <v>Seller Support</v>
      </c>
      <c r="P490" s="1" t="str">
        <f>IFERROR(VLOOKUP(C490,Agents!$A$2:$E$26,3,FALSE),"")</f>
        <v>Vivek Jain</v>
      </c>
      <c r="Q490" s="1" t="str">
        <f>IFERROR(VLOOKUP(C490,Agents!$A$2:$E$26,5,FALSE),"")</f>
        <v>Noida</v>
      </c>
      <c r="R490" s="1">
        <f>IFERROR(VLOOKUP(F490,#REF!,2,FALSE),0)</f>
        <v>0</v>
      </c>
      <c r="S490" s="1" t="str">
        <f t="shared" si="42"/>
        <v>Breached</v>
      </c>
      <c r="T490" s="1" t="str">
        <f t="shared" si="43"/>
        <v>Late</v>
      </c>
      <c r="U490" s="1" t="str">
        <f t="shared" si="44"/>
        <v>2025-06</v>
      </c>
      <c r="V490" s="1" t="str">
        <f t="shared" si="45"/>
        <v>Good</v>
      </c>
      <c r="W490" s="1" t="str">
        <f t="shared" si="46"/>
        <v>Pass</v>
      </c>
      <c r="X490" s="1" t="str">
        <f t="shared" si="47"/>
        <v>Unique</v>
      </c>
    </row>
    <row r="491" spans="1:24" ht="15" customHeight="1">
      <c r="A491" s="1" t="str">
        <f>'Raw Tickets'!$A$491</f>
        <v>T00490</v>
      </c>
      <c r="B491" s="4">
        <f>'Raw Tickets'!$B$491</f>
        <v>45851</v>
      </c>
      <c r="C491" s="1" t="str">
        <f>'Raw Tickets'!$C$491</f>
        <v>A025</v>
      </c>
      <c r="D491" s="1" t="str">
        <f>'Raw Tickets'!$D$491</f>
        <v>Chat</v>
      </c>
      <c r="E491" s="1" t="str">
        <f>'Raw Tickets'!$E$491</f>
        <v>Product Quality</v>
      </c>
      <c r="F491" s="1" t="str">
        <f>'Raw Tickets'!$F$491</f>
        <v>High</v>
      </c>
      <c r="G491" s="1">
        <f>'Raw Tickets'!$G$491</f>
        <v>8.4</v>
      </c>
      <c r="H491" s="1">
        <f>'Raw Tickets'!$H$491</f>
        <v>43</v>
      </c>
      <c r="I491" s="1">
        <f>'Raw Tickets'!$I$491</f>
        <v>4</v>
      </c>
      <c r="J491" s="6">
        <f>'Raw Tickets'!$J$491</f>
        <v>86</v>
      </c>
      <c r="K491" s="1" t="str">
        <f>'Raw Tickets'!$K$491</f>
        <v>Closed</v>
      </c>
      <c r="L491" s="1" t="str">
        <f>'Raw Tickets'!$L$491</f>
        <v>No</v>
      </c>
      <c r="M491" s="1" t="str">
        <f>'Raw Tickets'!$M$491</f>
        <v>Yes</v>
      </c>
      <c r="N491" s="1" t="str">
        <f>IFERROR(VLOOKUP(C491,Agents!$A$2:$E$26,2,FALSE),"")</f>
        <v>Arjun Nair</v>
      </c>
      <c r="O491" s="1" t="str">
        <f>IFERROR(INDEX(Agents!$D$2:$D$26,MATCH(C491,Agents!$A$2:$A$26,0)),"")</f>
        <v>Seller Support</v>
      </c>
      <c r="P491" s="1" t="str">
        <f>IFERROR(VLOOKUP(C491,Agents!$A$2:$E$26,3,FALSE),"")</f>
        <v>Vivek Jain</v>
      </c>
      <c r="Q491" s="1" t="str">
        <f>IFERROR(VLOOKUP(C491,Agents!$A$2:$E$26,5,FALSE),"")</f>
        <v>Noida</v>
      </c>
      <c r="R491" s="1">
        <f>IFERROR(VLOOKUP(F491,#REF!,2,FALSE),0)</f>
        <v>0</v>
      </c>
      <c r="S491" s="1" t="str">
        <f t="shared" si="42"/>
        <v>Breached</v>
      </c>
      <c r="T491" s="1" t="str">
        <f t="shared" si="43"/>
        <v>Late</v>
      </c>
      <c r="U491" s="1" t="str">
        <f t="shared" si="44"/>
        <v>2025-07</v>
      </c>
      <c r="V491" s="1" t="str">
        <f t="shared" si="45"/>
        <v>Good</v>
      </c>
      <c r="W491" s="1" t="str">
        <f t="shared" si="46"/>
        <v>Pass</v>
      </c>
      <c r="X491" s="1" t="str">
        <f t="shared" si="47"/>
        <v>Unique</v>
      </c>
    </row>
    <row r="492" spans="1:24" ht="15" customHeight="1">
      <c r="A492" s="1" t="str">
        <f>'Raw Tickets'!$A$492</f>
        <v>T00491</v>
      </c>
      <c r="B492" s="4">
        <f>'Raw Tickets'!$B$492</f>
        <v>45823</v>
      </c>
      <c r="C492" s="1" t="str">
        <f>'Raw Tickets'!$C$492</f>
        <v>A004</v>
      </c>
      <c r="D492" s="1" t="str">
        <f>'Raw Tickets'!$D$492</f>
        <v>Chat</v>
      </c>
      <c r="E492" s="1" t="str">
        <f>'Raw Tickets'!$E$492</f>
        <v>Account Issue</v>
      </c>
      <c r="F492" s="1" t="str">
        <f>'Raw Tickets'!$F$492</f>
        <v>Critical</v>
      </c>
      <c r="G492" s="1">
        <f>'Raw Tickets'!$G$492</f>
        <v>3.1</v>
      </c>
      <c r="H492" s="1">
        <f>'Raw Tickets'!$H$492</f>
        <v>10</v>
      </c>
      <c r="I492" s="1">
        <f>'Raw Tickets'!$I$492</f>
        <v>5</v>
      </c>
      <c r="J492" s="6">
        <f>'Raw Tickets'!$J$492</f>
        <v>86.9</v>
      </c>
      <c r="K492" s="1" t="str">
        <f>'Raw Tickets'!$K$492</f>
        <v>Closed</v>
      </c>
      <c r="L492" s="1" t="str">
        <f>'Raw Tickets'!$L$492</f>
        <v>No</v>
      </c>
      <c r="M492" s="1" t="str">
        <f>'Raw Tickets'!$M$492</f>
        <v>No</v>
      </c>
      <c r="N492" s="1" t="str">
        <f>IFERROR(VLOOKUP(C492,Agents!$A$2:$E$26,2,FALSE),"")</f>
        <v>Arjun Agarwal</v>
      </c>
      <c r="O492" s="1" t="str">
        <f>IFERROR(INDEX(Agents!$D$2:$D$26,MATCH(C492,Agents!$A$2:$A$26,0)),"")</f>
        <v>Email Support</v>
      </c>
      <c r="P492" s="1" t="str">
        <f>IFERROR(VLOOKUP(C492,Agents!$A$2:$E$26,3,FALSE),"")</f>
        <v>Aman Verma</v>
      </c>
      <c r="Q492" s="1" t="str">
        <f>IFERROR(VLOOKUP(C492,Agents!$A$2:$E$26,5,FALSE),"")</f>
        <v>Bengaluru</v>
      </c>
      <c r="R492" s="1">
        <f>IFERROR(VLOOKUP(F492,#REF!,2,FALSE),0)</f>
        <v>0</v>
      </c>
      <c r="S492" s="1" t="str">
        <f t="shared" si="42"/>
        <v>Breached</v>
      </c>
      <c r="T492" s="1" t="str">
        <f t="shared" si="43"/>
        <v>Within Target</v>
      </c>
      <c r="U492" s="1" t="str">
        <f t="shared" si="44"/>
        <v>2025-06</v>
      </c>
      <c r="V492" s="1" t="str">
        <f t="shared" si="45"/>
        <v>Good</v>
      </c>
      <c r="W492" s="1" t="str">
        <f t="shared" si="46"/>
        <v>Pass</v>
      </c>
      <c r="X492" s="1" t="str">
        <f t="shared" si="47"/>
        <v>Unique</v>
      </c>
    </row>
    <row r="493" spans="1:24" ht="15" customHeight="1">
      <c r="A493" s="1" t="str">
        <f>'Raw Tickets'!$A$493</f>
        <v>T00492</v>
      </c>
      <c r="B493" s="4">
        <f>'Raw Tickets'!$B$493</f>
        <v>45703</v>
      </c>
      <c r="C493" s="1" t="str">
        <f>'Raw Tickets'!$C$493</f>
        <v>A022</v>
      </c>
      <c r="D493" s="1" t="str">
        <f>'Raw Tickets'!$D$493</f>
        <v>Call</v>
      </c>
      <c r="E493" s="1" t="str">
        <f>'Raw Tickets'!$E$493</f>
        <v>Refund</v>
      </c>
      <c r="F493" s="1" t="str">
        <f>'Raw Tickets'!$F$493</f>
        <v>High</v>
      </c>
      <c r="G493" s="1">
        <f>'Raw Tickets'!$G$493</f>
        <v>7.6</v>
      </c>
      <c r="H493" s="1">
        <f>'Raw Tickets'!$H$493</f>
        <v>16</v>
      </c>
      <c r="I493" s="1">
        <f>'Raw Tickets'!$I$493</f>
        <v>4</v>
      </c>
      <c r="J493" s="6">
        <f>'Raw Tickets'!$J$493</f>
        <v>90.6</v>
      </c>
      <c r="K493" s="1" t="str">
        <f>'Raw Tickets'!$K$493</f>
        <v>Closed</v>
      </c>
      <c r="L493" s="1" t="str">
        <f>'Raw Tickets'!$L$493</f>
        <v>No</v>
      </c>
      <c r="M493" s="1" t="str">
        <f>'Raw Tickets'!$M$493</f>
        <v>Yes</v>
      </c>
      <c r="N493" s="1" t="str">
        <f>IFERROR(VLOOKUP(C493,Agents!$A$2:$E$26,2,FALSE),"")</f>
        <v>Varun Sharma</v>
      </c>
      <c r="O493" s="1" t="str">
        <f>IFERROR(INDEX(Agents!$D$2:$D$26,MATCH(C493,Agents!$A$2:$A$26,0)),"")</f>
        <v>Seller Support</v>
      </c>
      <c r="P493" s="1" t="str">
        <f>IFERROR(VLOOKUP(C493,Agents!$A$2:$E$26,3,FALSE),"")</f>
        <v>Vivek Jain</v>
      </c>
      <c r="Q493" s="1" t="str">
        <f>IFERROR(VLOOKUP(C493,Agents!$A$2:$E$26,5,FALSE),"")</f>
        <v>Noida</v>
      </c>
      <c r="R493" s="1">
        <f>IFERROR(VLOOKUP(F493,#REF!,2,FALSE),0)</f>
        <v>0</v>
      </c>
      <c r="S493" s="1" t="str">
        <f t="shared" si="42"/>
        <v>Breached</v>
      </c>
      <c r="T493" s="1" t="str">
        <f t="shared" si="43"/>
        <v>Within Target</v>
      </c>
      <c r="U493" s="1" t="str">
        <f t="shared" si="44"/>
        <v>2025-02</v>
      </c>
      <c r="V493" s="1" t="str">
        <f t="shared" si="45"/>
        <v>Good</v>
      </c>
      <c r="W493" s="1" t="str">
        <f t="shared" si="46"/>
        <v>Pass</v>
      </c>
      <c r="X493" s="1" t="str">
        <f t="shared" si="47"/>
        <v>Unique</v>
      </c>
    </row>
    <row r="494" spans="1:24" ht="15" customHeight="1">
      <c r="A494" s="1" t="str">
        <f>'Raw Tickets'!$A$494</f>
        <v>T00493</v>
      </c>
      <c r="B494" s="4">
        <f>'Raw Tickets'!$B$494</f>
        <v>45761</v>
      </c>
      <c r="C494" s="1" t="str">
        <f>'Raw Tickets'!$C$494</f>
        <v>A017</v>
      </c>
      <c r="D494" s="1" t="str">
        <f>'Raw Tickets'!$D$494</f>
        <v>Call</v>
      </c>
      <c r="E494" s="1" t="str">
        <f>'Raw Tickets'!$E$494</f>
        <v>Payment Failure</v>
      </c>
      <c r="F494" s="1" t="str">
        <f>'Raw Tickets'!$F$494</f>
        <v>Medium</v>
      </c>
      <c r="G494" s="1">
        <f>'Raw Tickets'!$G$494</f>
        <v>24</v>
      </c>
      <c r="H494" s="1">
        <f>'Raw Tickets'!$H$494</f>
        <v>67</v>
      </c>
      <c r="I494" s="1">
        <f>'Raw Tickets'!$I$494</f>
        <v>5</v>
      </c>
      <c r="J494" s="6">
        <f>'Raw Tickets'!$J$494</f>
        <v>78.599999999999994</v>
      </c>
      <c r="K494" s="1" t="str">
        <f>'Raw Tickets'!$K$494</f>
        <v>Closed</v>
      </c>
      <c r="L494" s="1" t="str">
        <f>'Raw Tickets'!$L$494</f>
        <v>No</v>
      </c>
      <c r="M494" s="1" t="str">
        <f>'Raw Tickets'!$M$494</f>
        <v>No</v>
      </c>
      <c r="N494" s="1" t="str">
        <f>IFERROR(VLOOKUP(C494,Agents!$A$2:$E$26,2,FALSE),"")</f>
        <v>Varun Mehta</v>
      </c>
      <c r="O494" s="1" t="str">
        <f>IFERROR(INDEX(Agents!$D$2:$D$26,MATCH(C494,Agents!$A$2:$A$26,0)),"")</f>
        <v>Escalations</v>
      </c>
      <c r="P494" s="1" t="str">
        <f>IFERROR(VLOOKUP(C494,Agents!$A$2:$E$26,3,FALSE),"")</f>
        <v>Pallavi Rao</v>
      </c>
      <c r="Q494" s="1" t="str">
        <f>IFERROR(VLOOKUP(C494,Agents!$A$2:$E$26,5,FALSE),"")</f>
        <v>Gurugram</v>
      </c>
      <c r="R494" s="1">
        <f>IFERROR(VLOOKUP(F494,#REF!,2,FALSE),0)</f>
        <v>0</v>
      </c>
      <c r="S494" s="1" t="str">
        <f t="shared" si="42"/>
        <v>Breached</v>
      </c>
      <c r="T494" s="1" t="str">
        <f t="shared" si="43"/>
        <v>Late</v>
      </c>
      <c r="U494" s="1" t="str">
        <f t="shared" si="44"/>
        <v>2025-04</v>
      </c>
      <c r="V494" s="1" t="str">
        <f t="shared" si="45"/>
        <v>Good</v>
      </c>
      <c r="W494" s="1" t="str">
        <f t="shared" si="46"/>
        <v>Needs Coaching</v>
      </c>
      <c r="X494" s="1" t="str">
        <f t="shared" si="47"/>
        <v>Unique</v>
      </c>
    </row>
    <row r="495" spans="1:24" ht="15" customHeight="1">
      <c r="A495" s="1" t="str">
        <f>'Raw Tickets'!$A$495</f>
        <v>T00494</v>
      </c>
      <c r="B495" s="4">
        <f>'Raw Tickets'!$B$495</f>
        <v>45943</v>
      </c>
      <c r="C495" s="1" t="str">
        <f>'Raw Tickets'!$C$495</f>
        <v>A020</v>
      </c>
      <c r="D495" s="1" t="str">
        <f>'Raw Tickets'!$D$495</f>
        <v>Chat</v>
      </c>
      <c r="E495" s="1" t="str">
        <f>'Raw Tickets'!$E$495</f>
        <v>Order Cancellation</v>
      </c>
      <c r="F495" s="1" t="str">
        <f>'Raw Tickets'!$F$495</f>
        <v>Medium</v>
      </c>
      <c r="G495" s="1">
        <f>'Raw Tickets'!$G$495</f>
        <v>16.2</v>
      </c>
      <c r="H495" s="1">
        <f>'Raw Tickets'!$H$495</f>
        <v>36</v>
      </c>
      <c r="I495" s="1">
        <f>'Raw Tickets'!$I$495</f>
        <v>4</v>
      </c>
      <c r="J495" s="6">
        <f>'Raw Tickets'!$J$495</f>
        <v>96.8</v>
      </c>
      <c r="K495" s="1" t="str">
        <f>'Raw Tickets'!$K$495</f>
        <v>Closed</v>
      </c>
      <c r="L495" s="1" t="str">
        <f>'Raw Tickets'!$L$495</f>
        <v>No</v>
      </c>
      <c r="M495" s="1" t="str">
        <f>'Raw Tickets'!$M$495</f>
        <v>No</v>
      </c>
      <c r="N495" s="1" t="str">
        <f>IFERROR(VLOOKUP(C495,Agents!$A$2:$E$26,2,FALSE),"")</f>
        <v>Aditi Bansal</v>
      </c>
      <c r="O495" s="1" t="str">
        <f>IFERROR(INDEX(Agents!$D$2:$D$26,MATCH(C495,Agents!$A$2:$A$26,0)),"")</f>
        <v>Escalations</v>
      </c>
      <c r="P495" s="1" t="str">
        <f>IFERROR(VLOOKUP(C495,Agents!$A$2:$E$26,3,FALSE),"")</f>
        <v>Pallavi Rao</v>
      </c>
      <c r="Q495" s="1" t="str">
        <f>IFERROR(VLOOKUP(C495,Agents!$A$2:$E$26,5,FALSE),"")</f>
        <v>Noida</v>
      </c>
      <c r="R495" s="1">
        <f>IFERROR(VLOOKUP(F495,#REF!,2,FALSE),0)</f>
        <v>0</v>
      </c>
      <c r="S495" s="1" t="str">
        <f t="shared" si="42"/>
        <v>Breached</v>
      </c>
      <c r="T495" s="1" t="str">
        <f t="shared" si="43"/>
        <v>Late</v>
      </c>
      <c r="U495" s="1" t="str">
        <f t="shared" si="44"/>
        <v>2025-10</v>
      </c>
      <c r="V495" s="1" t="str">
        <f t="shared" si="45"/>
        <v>Good</v>
      </c>
      <c r="W495" s="1" t="str">
        <f t="shared" si="46"/>
        <v>Pass</v>
      </c>
      <c r="X495" s="1" t="str">
        <f t="shared" si="47"/>
        <v>Unique</v>
      </c>
    </row>
    <row r="496" spans="1:24" ht="15" customHeight="1">
      <c r="A496" s="1" t="str">
        <f>'Raw Tickets'!$A$496</f>
        <v>T00495</v>
      </c>
      <c r="B496" s="4">
        <f>'Raw Tickets'!$B$496</f>
        <v>45808</v>
      </c>
      <c r="C496" s="1" t="str">
        <f>'Raw Tickets'!$C$496</f>
        <v>A002</v>
      </c>
      <c r="D496" s="1" t="str">
        <f>'Raw Tickets'!$D$496</f>
        <v>Email</v>
      </c>
      <c r="E496" s="1" t="str">
        <f>'Raw Tickets'!$E$496</f>
        <v>Order Cancellation</v>
      </c>
      <c r="F496" s="1" t="str">
        <f>'Raw Tickets'!$F$496</f>
        <v>High</v>
      </c>
      <c r="G496" s="1">
        <f>'Raw Tickets'!$G$496</f>
        <v>10.7</v>
      </c>
      <c r="H496" s="1">
        <f>'Raw Tickets'!$H$496</f>
        <v>1</v>
      </c>
      <c r="I496" s="1">
        <f>'Raw Tickets'!$I$496</f>
        <v>4</v>
      </c>
      <c r="J496" s="6">
        <f>'Raw Tickets'!$J$496</f>
        <v>77.599999999999994</v>
      </c>
      <c r="K496" s="1" t="str">
        <f>'Raw Tickets'!$K$496</f>
        <v>Closed</v>
      </c>
      <c r="L496" s="1" t="str">
        <f>'Raw Tickets'!$L$496</f>
        <v>No</v>
      </c>
      <c r="M496" s="1" t="str">
        <f>'Raw Tickets'!$M$496</f>
        <v>Yes</v>
      </c>
      <c r="N496" s="1" t="str">
        <f>IFERROR(VLOOKUP(C496,Agents!$A$2:$E$26,2,FALSE),"")</f>
        <v>Gaurav Khan</v>
      </c>
      <c r="O496" s="1" t="str">
        <f>IFERROR(INDEX(Agents!$D$2:$D$26,MATCH(C496,Agents!$A$2:$A$26,0)),"")</f>
        <v>Email Support</v>
      </c>
      <c r="P496" s="1" t="str">
        <f>IFERROR(VLOOKUP(C496,Agents!$A$2:$E$26,3,FALSE),"")</f>
        <v>Aman Verma</v>
      </c>
      <c r="Q496" s="1" t="str">
        <f>IFERROR(VLOOKUP(C496,Agents!$A$2:$E$26,5,FALSE),"")</f>
        <v>Noida</v>
      </c>
      <c r="R496" s="1">
        <f>IFERROR(VLOOKUP(F496,#REF!,2,FALSE),0)</f>
        <v>0</v>
      </c>
      <c r="S496" s="1" t="str">
        <f t="shared" si="42"/>
        <v>Breached</v>
      </c>
      <c r="T496" s="1" t="str">
        <f t="shared" si="43"/>
        <v>Within Target</v>
      </c>
      <c r="U496" s="1" t="str">
        <f t="shared" si="44"/>
        <v>2025-05</v>
      </c>
      <c r="V496" s="1" t="str">
        <f t="shared" si="45"/>
        <v>Good</v>
      </c>
      <c r="W496" s="1" t="str">
        <f t="shared" si="46"/>
        <v>Needs Coaching</v>
      </c>
      <c r="X496" s="1" t="str">
        <f t="shared" si="47"/>
        <v>Unique</v>
      </c>
    </row>
    <row r="497" spans="1:24" ht="15" customHeight="1">
      <c r="A497" s="1" t="str">
        <f>'Raw Tickets'!$A$497</f>
        <v>T00496</v>
      </c>
      <c r="B497" s="4">
        <f>'Raw Tickets'!$B$497</f>
        <v>45755</v>
      </c>
      <c r="C497" s="1" t="str">
        <f>'Raw Tickets'!$C$497</f>
        <v>A025</v>
      </c>
      <c r="D497" s="1" t="str">
        <f>'Raw Tickets'!$D$497</f>
        <v>Chat</v>
      </c>
      <c r="E497" s="1" t="str">
        <f>'Raw Tickets'!$E$497</f>
        <v>Product Quality</v>
      </c>
      <c r="F497" s="1" t="str">
        <f>'Raw Tickets'!$F$497</f>
        <v>Medium</v>
      </c>
      <c r="G497" s="1">
        <f>'Raw Tickets'!$G$497</f>
        <v>17.100000000000001</v>
      </c>
      <c r="H497" s="1">
        <f>'Raw Tickets'!$H$497</f>
        <v>49</v>
      </c>
      <c r="I497" s="1">
        <f>'Raw Tickets'!$I$497</f>
        <v>4</v>
      </c>
      <c r="J497" s="6">
        <f>'Raw Tickets'!$J$497</f>
        <v>96</v>
      </c>
      <c r="K497" s="1" t="str">
        <f>'Raw Tickets'!$K$497</f>
        <v>Closed</v>
      </c>
      <c r="L497" s="1" t="str">
        <f>'Raw Tickets'!$L$497</f>
        <v>No</v>
      </c>
      <c r="M497" s="1" t="str">
        <f>'Raw Tickets'!$M$497</f>
        <v>No</v>
      </c>
      <c r="N497" s="1" t="str">
        <f>IFERROR(VLOOKUP(C497,Agents!$A$2:$E$26,2,FALSE),"")</f>
        <v>Arjun Nair</v>
      </c>
      <c r="O497" s="1" t="str">
        <f>IFERROR(INDEX(Agents!$D$2:$D$26,MATCH(C497,Agents!$A$2:$A$26,0)),"")</f>
        <v>Seller Support</v>
      </c>
      <c r="P497" s="1" t="str">
        <f>IFERROR(VLOOKUP(C497,Agents!$A$2:$E$26,3,FALSE),"")</f>
        <v>Vivek Jain</v>
      </c>
      <c r="Q497" s="1" t="str">
        <f>IFERROR(VLOOKUP(C497,Agents!$A$2:$E$26,5,FALSE),"")</f>
        <v>Noida</v>
      </c>
      <c r="R497" s="1">
        <f>IFERROR(VLOOKUP(F497,#REF!,2,FALSE),0)</f>
        <v>0</v>
      </c>
      <c r="S497" s="1" t="str">
        <f t="shared" si="42"/>
        <v>Breached</v>
      </c>
      <c r="T497" s="1" t="str">
        <f t="shared" si="43"/>
        <v>Late</v>
      </c>
      <c r="U497" s="1" t="str">
        <f t="shared" si="44"/>
        <v>2025-04</v>
      </c>
      <c r="V497" s="1" t="str">
        <f t="shared" si="45"/>
        <v>Good</v>
      </c>
      <c r="W497" s="1" t="str">
        <f t="shared" si="46"/>
        <v>Pass</v>
      </c>
      <c r="X497" s="1" t="str">
        <f t="shared" si="47"/>
        <v>Unique</v>
      </c>
    </row>
    <row r="498" spans="1:24" ht="15" customHeight="1">
      <c r="A498" s="1" t="str">
        <f>'Raw Tickets'!$A$498</f>
        <v>T00497</v>
      </c>
      <c r="B498" s="4">
        <f>'Raw Tickets'!$B$498</f>
        <v>45665</v>
      </c>
      <c r="C498" s="1" t="str">
        <f>'Raw Tickets'!$C$498</f>
        <v>A016</v>
      </c>
      <c r="D498" s="1" t="str">
        <f>'Raw Tickets'!$D$498</f>
        <v>Chat</v>
      </c>
      <c r="E498" s="1" t="str">
        <f>'Raw Tickets'!$E$498</f>
        <v>Order Cancellation</v>
      </c>
      <c r="F498" s="1" t="str">
        <f>'Raw Tickets'!$F$498</f>
        <v>Critical</v>
      </c>
      <c r="G498" s="1">
        <f>'Raw Tickets'!$G$498</f>
        <v>1.6</v>
      </c>
      <c r="H498" s="1">
        <f>'Raw Tickets'!$H$498</f>
        <v>4</v>
      </c>
      <c r="I498" s="1">
        <f>'Raw Tickets'!$I$498</f>
        <v>5</v>
      </c>
      <c r="J498" s="6">
        <f>'Raw Tickets'!$J$498</f>
        <v>78.7</v>
      </c>
      <c r="K498" s="1" t="str">
        <f>'Raw Tickets'!$K$498</f>
        <v>Closed</v>
      </c>
      <c r="L498" s="1" t="str">
        <f>'Raw Tickets'!$L$498</f>
        <v>No</v>
      </c>
      <c r="M498" s="1" t="str">
        <f>'Raw Tickets'!$M$498</f>
        <v>Yes</v>
      </c>
      <c r="N498" s="1" t="str">
        <f>IFERROR(VLOOKUP(C498,Agents!$A$2:$E$26,2,FALSE),"")</f>
        <v>Pooja Bansal</v>
      </c>
      <c r="O498" s="1" t="str">
        <f>IFERROR(INDEX(Agents!$D$2:$D$26,MATCH(C498,Agents!$A$2:$A$26,0)),"")</f>
        <v>Escalations</v>
      </c>
      <c r="P498" s="1" t="str">
        <f>IFERROR(VLOOKUP(C498,Agents!$A$2:$E$26,3,FALSE),"")</f>
        <v>Pallavi Rao</v>
      </c>
      <c r="Q498" s="1" t="str">
        <f>IFERROR(VLOOKUP(C498,Agents!$A$2:$E$26,5,FALSE),"")</f>
        <v>Hyderabad</v>
      </c>
      <c r="R498" s="1">
        <f>IFERROR(VLOOKUP(F498,#REF!,2,FALSE),0)</f>
        <v>0</v>
      </c>
      <c r="S498" s="1" t="str">
        <f t="shared" si="42"/>
        <v>Breached</v>
      </c>
      <c r="T498" s="1" t="str">
        <f t="shared" si="43"/>
        <v>Within Target</v>
      </c>
      <c r="U498" s="1" t="str">
        <f t="shared" si="44"/>
        <v>2025-01</v>
      </c>
      <c r="V498" s="1" t="str">
        <f t="shared" si="45"/>
        <v>Good</v>
      </c>
      <c r="W498" s="1" t="str">
        <f t="shared" si="46"/>
        <v>Needs Coaching</v>
      </c>
      <c r="X498" s="1" t="str">
        <f t="shared" si="47"/>
        <v>Unique</v>
      </c>
    </row>
    <row r="499" spans="1:24" ht="15" customHeight="1">
      <c r="A499" s="1" t="str">
        <f>'Raw Tickets'!$A$499</f>
        <v>T00498</v>
      </c>
      <c r="B499" s="4">
        <f>'Raw Tickets'!$B$499</f>
        <v>45876</v>
      </c>
      <c r="C499" s="1" t="str">
        <f>'Raw Tickets'!$C$499</f>
        <v>A019</v>
      </c>
      <c r="D499" s="1" t="str">
        <f>'Raw Tickets'!$D$499</f>
        <v>Call</v>
      </c>
      <c r="E499" s="1" t="str">
        <f>'Raw Tickets'!$E$499</f>
        <v>Delivery Delay</v>
      </c>
      <c r="F499" s="1" t="str">
        <f>'Raw Tickets'!$F$499</f>
        <v>Low</v>
      </c>
      <c r="G499" s="1">
        <f>'Raw Tickets'!$G$499</f>
        <v>93.7</v>
      </c>
      <c r="H499" s="1">
        <f>'Raw Tickets'!$H$499</f>
        <v>41</v>
      </c>
      <c r="I499" s="1">
        <f>'Raw Tickets'!$I$499</f>
        <v>4</v>
      </c>
      <c r="J499" s="6">
        <f>'Raw Tickets'!$J$499</f>
        <v>98.4</v>
      </c>
      <c r="K499" s="1" t="str">
        <f>'Raw Tickets'!$K$499</f>
        <v>Closed</v>
      </c>
      <c r="L499" s="1" t="str">
        <f>'Raw Tickets'!$L$499</f>
        <v>No</v>
      </c>
      <c r="M499" s="1" t="str">
        <f>'Raw Tickets'!$M$499</f>
        <v>No</v>
      </c>
      <c r="N499" s="1" t="str">
        <f>IFERROR(VLOOKUP(C499,Agents!$A$2:$E$26,2,FALSE),"")</f>
        <v>Sneha Joshi</v>
      </c>
      <c r="O499" s="1" t="str">
        <f>IFERROR(INDEX(Agents!$D$2:$D$26,MATCH(C499,Agents!$A$2:$A$26,0)),"")</f>
        <v>Escalations</v>
      </c>
      <c r="P499" s="1" t="str">
        <f>IFERROR(VLOOKUP(C499,Agents!$A$2:$E$26,3,FALSE),"")</f>
        <v>Pallavi Rao</v>
      </c>
      <c r="Q499" s="1" t="str">
        <f>IFERROR(VLOOKUP(C499,Agents!$A$2:$E$26,5,FALSE),"")</f>
        <v>Hyderabad</v>
      </c>
      <c r="R499" s="1">
        <f>IFERROR(VLOOKUP(F499,#REF!,2,FALSE),0)</f>
        <v>0</v>
      </c>
      <c r="S499" s="1" t="str">
        <f t="shared" si="42"/>
        <v>Breached</v>
      </c>
      <c r="T499" s="1" t="str">
        <f t="shared" si="43"/>
        <v>Late</v>
      </c>
      <c r="U499" s="1" t="str">
        <f t="shared" si="44"/>
        <v>2025-08</v>
      </c>
      <c r="V499" s="1" t="str">
        <f t="shared" si="45"/>
        <v>Good</v>
      </c>
      <c r="W499" s="1" t="str">
        <f t="shared" si="46"/>
        <v>Pass</v>
      </c>
      <c r="X499" s="1" t="str">
        <f t="shared" si="47"/>
        <v>Unique</v>
      </c>
    </row>
    <row r="500" spans="1:24" ht="15" customHeight="1">
      <c r="A500" s="1" t="str">
        <f>'Raw Tickets'!$A$500</f>
        <v>T00499</v>
      </c>
      <c r="B500" s="4">
        <f>'Raw Tickets'!$B$500</f>
        <v>45696</v>
      </c>
      <c r="C500" s="1" t="str">
        <f>'Raw Tickets'!$C$500</f>
        <v>A014</v>
      </c>
      <c r="D500" s="1" t="str">
        <f>'Raw Tickets'!$D$500</f>
        <v>Chat</v>
      </c>
      <c r="E500" s="1" t="str">
        <f>'Raw Tickets'!$E$500</f>
        <v>Delivery Delay</v>
      </c>
      <c r="F500" s="1" t="str">
        <f>'Raw Tickets'!$F$500</f>
        <v>Low</v>
      </c>
      <c r="G500" s="1">
        <f>'Raw Tickets'!$G$500</f>
        <v>23.5</v>
      </c>
      <c r="H500" s="1">
        <f>'Raw Tickets'!$H$500</f>
        <v>34</v>
      </c>
      <c r="I500" s="1">
        <f>'Raw Tickets'!$I$500</f>
        <v>5</v>
      </c>
      <c r="J500" s="6">
        <f>'Raw Tickets'!$J$500</f>
        <v>75.7</v>
      </c>
      <c r="K500" s="1" t="str">
        <f>'Raw Tickets'!$K$500</f>
        <v>Closed</v>
      </c>
      <c r="L500" s="1" t="str">
        <f>'Raw Tickets'!$L$500</f>
        <v>No</v>
      </c>
      <c r="M500" s="1" t="str">
        <f>'Raw Tickets'!$M$500</f>
        <v>No</v>
      </c>
      <c r="N500" s="1" t="str">
        <f>IFERROR(VLOOKUP(C500,Agents!$A$2:$E$26,2,FALSE),"")</f>
        <v>Ananya Jain</v>
      </c>
      <c r="O500" s="1" t="str">
        <f>IFERROR(INDEX(Agents!$D$2:$D$26,MATCH(C500,Agents!$A$2:$A$26,0)),"")</f>
        <v>Chat Support</v>
      </c>
      <c r="P500" s="1" t="str">
        <f>IFERROR(VLOOKUP(C500,Agents!$A$2:$E$26,3,FALSE),"")</f>
        <v>Nitin Gupta</v>
      </c>
      <c r="Q500" s="1" t="str">
        <f>IFERROR(VLOOKUP(C500,Agents!$A$2:$E$26,5,FALSE),"")</f>
        <v>Bengaluru</v>
      </c>
      <c r="R500" s="1">
        <f>IFERROR(VLOOKUP(F500,#REF!,2,FALSE),0)</f>
        <v>0</v>
      </c>
      <c r="S500" s="1" t="str">
        <f t="shared" si="42"/>
        <v>Breached</v>
      </c>
      <c r="T500" s="1" t="str">
        <f t="shared" si="43"/>
        <v>Late</v>
      </c>
      <c r="U500" s="1" t="str">
        <f t="shared" si="44"/>
        <v>2025-02</v>
      </c>
      <c r="V500" s="1" t="str">
        <f t="shared" si="45"/>
        <v>Good</v>
      </c>
      <c r="W500" s="1" t="str">
        <f t="shared" si="46"/>
        <v>Needs Coaching</v>
      </c>
      <c r="X500" s="1" t="str">
        <f t="shared" si="47"/>
        <v>Unique</v>
      </c>
    </row>
    <row r="501" spans="1:24" ht="15" customHeight="1">
      <c r="A501" s="1" t="str">
        <f>'Raw Tickets'!$A$501</f>
        <v>T00500</v>
      </c>
      <c r="B501" s="4">
        <f>'Raw Tickets'!$B$501</f>
        <v>45730</v>
      </c>
      <c r="C501" s="1" t="str">
        <f>'Raw Tickets'!$C$501</f>
        <v>A003</v>
      </c>
      <c r="D501" s="1" t="str">
        <f>'Raw Tickets'!$D$501</f>
        <v>Call</v>
      </c>
      <c r="E501" s="1" t="str">
        <f>'Raw Tickets'!$E$501</f>
        <v>Payment Failure</v>
      </c>
      <c r="F501" s="1" t="str">
        <f>'Raw Tickets'!$F$501</f>
        <v>Low</v>
      </c>
      <c r="G501" s="1">
        <f>'Raw Tickets'!$G$501</f>
        <v>4.8</v>
      </c>
      <c r="H501" s="1">
        <f>'Raw Tickets'!$H$501</f>
        <v>45</v>
      </c>
      <c r="I501" s="1">
        <f>'Raw Tickets'!$I$501</f>
        <v>5</v>
      </c>
      <c r="J501" s="6">
        <f>'Raw Tickets'!$J$501</f>
        <v>87.4</v>
      </c>
      <c r="K501" s="1" t="str">
        <f>'Raw Tickets'!$K$501</f>
        <v>Closed</v>
      </c>
      <c r="L501" s="1" t="str">
        <f>'Raw Tickets'!$L$501</f>
        <v>No</v>
      </c>
      <c r="M501" s="1" t="str">
        <f>'Raw Tickets'!$M$501</f>
        <v>No</v>
      </c>
      <c r="N501" s="1" t="str">
        <f>IFERROR(VLOOKUP(C501,Agents!$A$2:$E$26,2,FALSE),"")</f>
        <v>Kabir Verma</v>
      </c>
      <c r="O501" s="1" t="str">
        <f>IFERROR(INDEX(Agents!$D$2:$D$26,MATCH(C501,Agents!$A$2:$A$26,0)),"")</f>
        <v>Email Support</v>
      </c>
      <c r="P501" s="1" t="str">
        <f>IFERROR(VLOOKUP(C501,Agents!$A$2:$E$26,3,FALSE),"")</f>
        <v>Aman Verma</v>
      </c>
      <c r="Q501" s="1" t="str">
        <f>IFERROR(VLOOKUP(C501,Agents!$A$2:$E$26,5,FALSE),"")</f>
        <v>Gurugram</v>
      </c>
      <c r="R501" s="1">
        <f>IFERROR(VLOOKUP(F501,#REF!,2,FALSE),0)</f>
        <v>0</v>
      </c>
      <c r="S501" s="1" t="str">
        <f t="shared" si="42"/>
        <v>Breached</v>
      </c>
      <c r="T501" s="1" t="str">
        <f t="shared" si="43"/>
        <v>Late</v>
      </c>
      <c r="U501" s="1" t="str">
        <f t="shared" si="44"/>
        <v>2025-03</v>
      </c>
      <c r="V501" s="1" t="str">
        <f t="shared" si="45"/>
        <v>Good</v>
      </c>
      <c r="W501" s="1" t="str">
        <f t="shared" si="46"/>
        <v>Pass</v>
      </c>
      <c r="X501" s="1" t="str">
        <f t="shared" si="47"/>
        <v>Unique</v>
      </c>
    </row>
  </sheetData>
  <conditionalFormatting sqref="S2:S501">
    <cfRule type="containsText" dxfId="1" priority="1" operator="containsText" text="Breached"/>
  </conditionalFormatting>
  <conditionalFormatting sqref="W2:W501">
    <cfRule type="containsText" dxfId="0" priority="2" operator="containsText" text="Pass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showGridLines="0" workbookViewId="0">
      <selection activeCell="B8" sqref="B8"/>
    </sheetView>
  </sheetViews>
  <sheetFormatPr defaultRowHeight="13.8"/>
  <cols>
    <col min="1" max="1" width="22.796875" customWidth="1"/>
    <col min="2" max="2" width="5.59765625" customWidth="1"/>
    <col min="3" max="3" width="7.796875" customWidth="1"/>
    <col min="4" max="4" width="5.8984375" customWidth="1"/>
    <col min="5" max="5" width="11.3984375" bestFit="1" customWidth="1"/>
    <col min="7" max="7" width="6.8984375" bestFit="1" customWidth="1"/>
    <col min="8" max="8" width="5.59765625" customWidth="1"/>
    <col min="9" max="9" width="7.796875" customWidth="1"/>
    <col min="10" max="10" width="5.8984375" customWidth="1"/>
  </cols>
  <sheetData>
    <row r="1" spans="1:12">
      <c r="A1" s="7" t="s">
        <v>656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" customHeight="1">
      <c r="A4" s="2" t="s">
        <v>11</v>
      </c>
      <c r="B4" s="2" t="s">
        <v>1</v>
      </c>
      <c r="C4" s="2" t="s">
        <v>657</v>
      </c>
      <c r="D4" s="2" t="s">
        <v>658</v>
      </c>
      <c r="E4" s="2" t="s">
        <v>659</v>
      </c>
      <c r="F4" s="1"/>
      <c r="G4" s="2" t="s">
        <v>25</v>
      </c>
      <c r="H4" s="2" t="s">
        <v>1</v>
      </c>
      <c r="I4" s="2" t="s">
        <v>657</v>
      </c>
      <c r="J4" s="2" t="s">
        <v>658</v>
      </c>
      <c r="K4" s="1"/>
      <c r="L4" s="1"/>
    </row>
    <row r="5" spans="1:12" ht="15" customHeight="1">
      <c r="A5" s="29" t="s">
        <v>44</v>
      </c>
      <c r="B5" s="29">
        <f>COUNTIF('Ticket Analysis'!$O$2:$O$501,A5)</f>
        <v>112</v>
      </c>
      <c r="C5" s="30">
        <f>AVERAGEIF('Ticket Analysis'!$O$2:$O$501,A5,'Ticket Analysis'!$I$2:$I$501)</f>
        <v>3.8214285714285716</v>
      </c>
      <c r="D5" s="30">
        <f>AVERAGEIF('Ticket Analysis'!$O$2:$O$501,A5,'Ticket Analysis'!$J$2:$J$501)</f>
        <v>86.165178571428569</v>
      </c>
      <c r="E5" s="29">
        <f>COUNTIFS('Ticket Analysis'!$O$2:$O$501,A5,'Ticket Analysis'!$S$2:$S$501,"Breached")</f>
        <v>112</v>
      </c>
      <c r="F5" s="1"/>
      <c r="G5" s="29" t="s">
        <v>27</v>
      </c>
      <c r="H5" s="29">
        <f>COUNTIF('Ticket Analysis'!$U$2:$U$501,G5)</f>
        <v>47</v>
      </c>
      <c r="I5" s="30">
        <f>AVERAGEIF('Ticket Analysis'!$U$2:$U$501,G5,'Ticket Analysis'!$I$2:$I$501)</f>
        <v>3.8510638297872339</v>
      </c>
      <c r="J5" s="30">
        <f>AVERAGEIF('Ticket Analysis'!$U$2:$U$501,G5,'Ticket Analysis'!$J$2:$J$501)</f>
        <v>85.980851063829789</v>
      </c>
      <c r="K5" s="1"/>
      <c r="L5" s="1"/>
    </row>
    <row r="6" spans="1:12" ht="15" customHeight="1">
      <c r="A6" s="29" t="s">
        <v>59</v>
      </c>
      <c r="B6" s="29">
        <f>COUNTIF('Ticket Analysis'!$O$2:$O$501,A6)</f>
        <v>103</v>
      </c>
      <c r="C6" s="30">
        <f>AVERAGEIF('Ticket Analysis'!$O$2:$O$501,A6,'Ticket Analysis'!$I$2:$I$501)</f>
        <v>3.9611650485436893</v>
      </c>
      <c r="D6" s="30">
        <f>AVERAGEIF('Ticket Analysis'!$O$2:$O$501,A6,'Ticket Analysis'!$J$2:$J$501)</f>
        <v>85.690291262135958</v>
      </c>
      <c r="E6" s="29">
        <f>COUNTIFS('Ticket Analysis'!$O$2:$O$501,A6,'Ticket Analysis'!$S$2:$S$501,"Breached")</f>
        <v>103</v>
      </c>
      <c r="F6" s="1"/>
      <c r="G6" s="29" t="s">
        <v>660</v>
      </c>
      <c r="H6" s="29">
        <f>COUNTIF('Ticket Analysis'!$U$2:$U$501,G6)</f>
        <v>39</v>
      </c>
      <c r="I6" s="30">
        <f>AVERAGEIF('Ticket Analysis'!$U$2:$U$501,G6,'Ticket Analysis'!$I$2:$I$501)</f>
        <v>3.7948717948717947</v>
      </c>
      <c r="J6" s="30">
        <f>AVERAGEIF('Ticket Analysis'!$U$2:$U$501,G6,'Ticket Analysis'!$J$2:$J$501)</f>
        <v>87.04871794871795</v>
      </c>
      <c r="K6" s="1"/>
      <c r="L6" s="1"/>
    </row>
    <row r="7" spans="1:12" ht="15" customHeight="1">
      <c r="A7" s="29" t="s">
        <v>72</v>
      </c>
      <c r="B7" s="29">
        <f>COUNTIF('Ticket Analysis'!$O$2:$O$501,A7)</f>
        <v>93</v>
      </c>
      <c r="C7" s="30">
        <f>AVERAGEIF('Ticket Analysis'!$O$2:$O$501,A7,'Ticket Analysis'!$I$2:$I$501)</f>
        <v>3.838709677419355</v>
      </c>
      <c r="D7" s="30">
        <f>AVERAGEIF('Ticket Analysis'!$O$2:$O$501,A7,'Ticket Analysis'!$J$2:$J$501)</f>
        <v>86.995698924731172</v>
      </c>
      <c r="E7" s="29">
        <f>COUNTIFS('Ticket Analysis'!$O$2:$O$501,A7,'Ticket Analysis'!$S$2:$S$501,"Breached")</f>
        <v>93</v>
      </c>
      <c r="F7" s="1"/>
      <c r="G7" s="29" t="s">
        <v>661</v>
      </c>
      <c r="H7" s="29">
        <f>COUNTIF('Ticket Analysis'!$U$2:$U$501,G7)</f>
        <v>50</v>
      </c>
      <c r="I7" s="30">
        <f>AVERAGEIF('Ticket Analysis'!$U$2:$U$501,G7,'Ticket Analysis'!$I$2:$I$501)</f>
        <v>3.88</v>
      </c>
      <c r="J7" s="30">
        <f>AVERAGEIF('Ticket Analysis'!$U$2:$U$501,G7,'Ticket Analysis'!$J$2:$J$501)</f>
        <v>85.251999999999995</v>
      </c>
      <c r="K7" s="1"/>
      <c r="L7" s="1"/>
    </row>
    <row r="8" spans="1:12" ht="15" customHeight="1">
      <c r="A8" s="29" t="s">
        <v>83</v>
      </c>
      <c r="B8" s="29">
        <f>COUNTIF('Ticket Analysis'!$O$2:$O$501,A8)</f>
        <v>111</v>
      </c>
      <c r="C8" s="30">
        <f>AVERAGEIF('Ticket Analysis'!$O$2:$O$501,A8,'Ticket Analysis'!$I$2:$I$501)</f>
        <v>3.8468468468468466</v>
      </c>
      <c r="D8" s="30">
        <f>AVERAGEIF('Ticket Analysis'!$O$2:$O$501,A8,'Ticket Analysis'!$J$2:$J$501)</f>
        <v>86.128828828828844</v>
      </c>
      <c r="E8" s="29">
        <f>COUNTIFS('Ticket Analysis'!$O$2:$O$501,A8,'Ticket Analysis'!$S$2:$S$501,"Breached")</f>
        <v>111</v>
      </c>
      <c r="F8" s="1"/>
      <c r="G8" s="29" t="s">
        <v>662</v>
      </c>
      <c r="H8" s="29">
        <f>COUNTIF('Ticket Analysis'!$U$2:$U$501,G8)</f>
        <v>37</v>
      </c>
      <c r="I8" s="30">
        <f>AVERAGEIF('Ticket Analysis'!$U$2:$U$501,G8,'Ticket Analysis'!$I$2:$I$501)</f>
        <v>3.6216216216216215</v>
      </c>
      <c r="J8" s="30">
        <f>AVERAGEIF('Ticket Analysis'!$U$2:$U$501,G8,'Ticket Analysis'!$J$2:$J$501)</f>
        <v>90.14594594594594</v>
      </c>
      <c r="K8" s="1"/>
      <c r="L8" s="1"/>
    </row>
    <row r="9" spans="1:12" ht="15" customHeight="1">
      <c r="A9" s="29" t="s">
        <v>95</v>
      </c>
      <c r="B9" s="29">
        <f>COUNTIF('Ticket Analysis'!$O$2:$O$501,A9)</f>
        <v>81</v>
      </c>
      <c r="C9" s="30">
        <f>AVERAGEIF('Ticket Analysis'!$O$2:$O$501,A9,'Ticket Analysis'!$I$2:$I$501)</f>
        <v>3.9382716049382718</v>
      </c>
      <c r="D9" s="30">
        <f>AVERAGEIF('Ticket Analysis'!$O$2:$O$501,A9,'Ticket Analysis'!$J$2:$J$501)</f>
        <v>87.072839506172841</v>
      </c>
      <c r="E9" s="29">
        <f>COUNTIFS('Ticket Analysis'!$O$2:$O$501,A9,'Ticket Analysis'!$S$2:$S$501,"Breached")</f>
        <v>81</v>
      </c>
      <c r="F9" s="1"/>
      <c r="G9" s="29" t="s">
        <v>663</v>
      </c>
      <c r="H9" s="29">
        <f>COUNTIF('Ticket Analysis'!$U$2:$U$501,G9)</f>
        <v>33</v>
      </c>
      <c r="I9" s="30">
        <f>AVERAGEIF('Ticket Analysis'!$U$2:$U$501,G9,'Ticket Analysis'!$I$2:$I$501)</f>
        <v>4.2727272727272725</v>
      </c>
      <c r="J9" s="30">
        <f>AVERAGEIF('Ticket Analysis'!$U$2:$U$501,G9,'Ticket Analysis'!$J$2:$J$501)</f>
        <v>83.533333333333317</v>
      </c>
      <c r="K9" s="1"/>
      <c r="L9" s="1"/>
    </row>
    <row r="10" spans="1:12" ht="15" customHeight="1">
      <c r="A10" s="1"/>
      <c r="B10" s="1"/>
      <c r="C10" s="1"/>
      <c r="D10" s="1"/>
      <c r="E10" s="1"/>
      <c r="F10" s="1"/>
      <c r="G10" s="29" t="s">
        <v>664</v>
      </c>
      <c r="H10" s="29">
        <f>COUNTIF('Ticket Analysis'!$U$2:$U$501,G10)</f>
        <v>37</v>
      </c>
      <c r="I10" s="30">
        <f>AVERAGEIF('Ticket Analysis'!$U$2:$U$501,G10,'Ticket Analysis'!$I$2:$I$501)</f>
        <v>4.1621621621621623</v>
      </c>
      <c r="J10" s="30">
        <f>AVERAGEIF('Ticket Analysis'!$U$2:$U$501,G10,'Ticket Analysis'!$J$2:$J$501)</f>
        <v>87.632432432432438</v>
      </c>
      <c r="K10" s="1"/>
      <c r="L10" s="1"/>
    </row>
    <row r="11" spans="1:12" ht="15" customHeight="1">
      <c r="A11" s="1"/>
      <c r="B11" s="1"/>
      <c r="C11" s="1"/>
      <c r="D11" s="1"/>
      <c r="E11" s="1"/>
      <c r="F11" s="1"/>
      <c r="G11" s="29" t="s">
        <v>665</v>
      </c>
      <c r="H11" s="29">
        <f>COUNTIF('Ticket Analysis'!$U$2:$U$501,G11)</f>
        <v>54</v>
      </c>
      <c r="I11" s="30">
        <f>AVERAGEIF('Ticket Analysis'!$U$2:$U$501,G11,'Ticket Analysis'!$I$2:$I$501)</f>
        <v>3.7407407407407409</v>
      </c>
      <c r="J11" s="30">
        <f>AVERAGEIF('Ticket Analysis'!$U$2:$U$501,G11,'Ticket Analysis'!$J$2:$J$501)</f>
        <v>86.370370370370367</v>
      </c>
      <c r="K11" s="1"/>
      <c r="L11" s="1"/>
    </row>
    <row r="12" spans="1:12" ht="15" customHeight="1">
      <c r="A12" s="1"/>
      <c r="B12" s="1"/>
      <c r="C12" s="1"/>
      <c r="D12" s="1"/>
      <c r="E12" s="1"/>
      <c r="F12" s="1"/>
      <c r="G12" s="29" t="s">
        <v>666</v>
      </c>
      <c r="H12" s="29">
        <f>COUNTIF('Ticket Analysis'!$U$2:$U$501,G12)</f>
        <v>44</v>
      </c>
      <c r="I12" s="30">
        <f>AVERAGEIF('Ticket Analysis'!$U$2:$U$501,G12,'Ticket Analysis'!$I$2:$I$501)</f>
        <v>3.8409090909090908</v>
      </c>
      <c r="J12" s="30">
        <f>AVERAGEIF('Ticket Analysis'!$U$2:$U$501,G12,'Ticket Analysis'!$J$2:$J$501)</f>
        <v>85.727272727272734</v>
      </c>
      <c r="K12" s="1"/>
      <c r="L12" s="1"/>
    </row>
    <row r="13" spans="1:12" ht="15" customHeight="1">
      <c r="A13" s="1"/>
      <c r="B13" s="1"/>
      <c r="C13" s="1"/>
      <c r="D13" s="1"/>
      <c r="E13" s="1"/>
      <c r="F13" s="1"/>
      <c r="G13" s="29" t="s">
        <v>667</v>
      </c>
      <c r="H13" s="29">
        <f>COUNTIF('Ticket Analysis'!$U$2:$U$501,G13)</f>
        <v>42</v>
      </c>
      <c r="I13" s="30">
        <f>AVERAGEIF('Ticket Analysis'!$U$2:$U$501,G13,'Ticket Analysis'!$I$2:$I$501)</f>
        <v>3.9761904761904763</v>
      </c>
      <c r="J13" s="30">
        <f>AVERAGEIF('Ticket Analysis'!$U$2:$U$501,G13,'Ticket Analysis'!$J$2:$J$501)</f>
        <v>85.642857142857139</v>
      </c>
      <c r="K13" s="1"/>
      <c r="L13" s="1"/>
    </row>
    <row r="14" spans="1:12" ht="15" customHeight="1">
      <c r="A14" s="1"/>
      <c r="B14" s="1"/>
      <c r="C14" s="1"/>
      <c r="D14" s="1"/>
      <c r="E14" s="1"/>
      <c r="F14" s="1"/>
      <c r="G14" s="29" t="s">
        <v>668</v>
      </c>
      <c r="H14" s="29">
        <f>COUNTIF('Ticket Analysis'!$U$2:$U$501,G14)</f>
        <v>42</v>
      </c>
      <c r="I14" s="30">
        <f>AVERAGEIF('Ticket Analysis'!$U$2:$U$501,G14,'Ticket Analysis'!$I$2:$I$501)</f>
        <v>4</v>
      </c>
      <c r="J14" s="30">
        <f>AVERAGEIF('Ticket Analysis'!$U$2:$U$501,G14,'Ticket Analysis'!$J$2:$J$501)</f>
        <v>87.100000000000009</v>
      </c>
      <c r="K14" s="1"/>
      <c r="L14" s="1"/>
    </row>
    <row r="15" spans="1:12" ht="15" customHeight="1">
      <c r="A15" s="1"/>
      <c r="B15" s="1"/>
      <c r="C15" s="1"/>
      <c r="D15" s="1"/>
      <c r="E15" s="1"/>
      <c r="F15" s="1"/>
      <c r="G15" s="29" t="s">
        <v>669</v>
      </c>
      <c r="H15" s="29">
        <f>COUNTIF('Ticket Analysis'!$U$2:$U$501,G15)</f>
        <v>39</v>
      </c>
      <c r="I15" s="30">
        <f>AVERAGEIF('Ticket Analysis'!$U$2:$U$501,G15,'Ticket Analysis'!$I$2:$I$501)</f>
        <v>3.5897435897435899</v>
      </c>
      <c r="J15" s="30">
        <f>AVERAGEIF('Ticket Analysis'!$U$2:$U$501,G15,'Ticket Analysis'!$J$2:$J$501)</f>
        <v>86.128205128205124</v>
      </c>
      <c r="K15" s="1"/>
      <c r="L15" s="1"/>
    </row>
    <row r="16" spans="1:12" ht="15" customHeight="1">
      <c r="A16" s="1"/>
      <c r="B16" s="1"/>
      <c r="C16" s="1"/>
      <c r="D16" s="1"/>
      <c r="E16" s="1"/>
      <c r="F16" s="1"/>
      <c r="G16" s="29" t="s">
        <v>670</v>
      </c>
      <c r="H16" s="29">
        <f>COUNTIF('Ticket Analysis'!$U$2:$U$501,G16)</f>
        <v>36</v>
      </c>
      <c r="I16" s="30">
        <f>AVERAGEIF('Ticket Analysis'!$U$2:$U$501,G16,'Ticket Analysis'!$I$2:$I$501)</f>
        <v>3.9166666666666665</v>
      </c>
      <c r="J16" s="30">
        <f>AVERAGEIF('Ticket Analysis'!$U$2:$U$501,G16,'Ticket Analysis'!$J$2:$J$501)</f>
        <v>86.033333333333331</v>
      </c>
      <c r="K16" s="1"/>
      <c r="L16" s="1"/>
    </row>
  </sheetData>
  <mergeCells count="1">
    <mergeCell ref="A1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8"/>
  <sheetViews>
    <sheetView showGridLines="0" tabSelected="1" topLeftCell="A16" workbookViewId="0">
      <selection sqref="A1:N2"/>
    </sheetView>
  </sheetViews>
  <sheetFormatPr defaultRowHeight="13.8"/>
  <cols>
    <col min="1" max="14" width="12" customWidth="1"/>
  </cols>
  <sheetData>
    <row r="1" spans="1:14">
      <c r="A1" s="7" t="s">
        <v>671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" customHeight="1">
      <c r="A4" s="9" t="s">
        <v>1</v>
      </c>
      <c r="B4" s="9"/>
      <c r="C4" s="9"/>
      <c r="D4" s="1"/>
      <c r="E4" s="9" t="s">
        <v>672</v>
      </c>
      <c r="F4" s="9"/>
      <c r="G4" s="9"/>
      <c r="H4" s="1"/>
      <c r="I4" s="9" t="s">
        <v>673</v>
      </c>
      <c r="J4" s="9"/>
      <c r="K4" s="9"/>
      <c r="L4" s="1"/>
      <c r="M4" s="9" t="s">
        <v>659</v>
      </c>
      <c r="N4" s="9"/>
    </row>
    <row r="5" spans="1:14" ht="15" customHeight="1">
      <c r="A5" s="10">
        <f>COUNTA('Ticket Analysis'!$A$2:$A$501)</f>
        <v>500</v>
      </c>
      <c r="B5" s="11"/>
      <c r="C5" s="12"/>
      <c r="D5" s="1"/>
      <c r="E5" s="16">
        <f>AVERAGE('Ticket Analysis'!$I$2:$I$501)</f>
        <v>3.8780000000000001</v>
      </c>
      <c r="F5" s="17"/>
      <c r="G5" s="18"/>
      <c r="H5" s="1"/>
      <c r="I5" s="22">
        <f>AVERAGE('Ticket Analysis'!$J$2:$J$501)</f>
        <v>86.360799999999983</v>
      </c>
      <c r="J5" s="23"/>
      <c r="K5" s="24"/>
      <c r="L5" s="1"/>
      <c r="M5" s="10">
        <f>COUNTIF('Ticket Analysis'!$S$2:$S$501,"Breached")</f>
        <v>500</v>
      </c>
      <c r="N5" s="12"/>
    </row>
    <row r="6" spans="1:14" ht="15" customHeight="1">
      <c r="A6" s="13"/>
      <c r="B6" s="14"/>
      <c r="C6" s="15"/>
      <c r="D6" s="1"/>
      <c r="E6" s="19"/>
      <c r="F6" s="20"/>
      <c r="G6" s="21"/>
      <c r="H6" s="1"/>
      <c r="I6" s="25"/>
      <c r="J6" s="26"/>
      <c r="K6" s="27"/>
      <c r="L6" s="1"/>
      <c r="M6" s="13"/>
      <c r="N6" s="15"/>
    </row>
    <row r="7" spans="1:1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" customHeight="1">
      <c r="A23" s="1"/>
      <c r="B23" s="1"/>
      <c r="C23" s="1"/>
      <c r="D23" s="1"/>
      <c r="E23" s="1"/>
      <c r="F23" s="1"/>
      <c r="G23" s="1"/>
      <c r="H23" s="1"/>
      <c r="I23" s="1"/>
      <c r="J23" s="28" t="s">
        <v>674</v>
      </c>
      <c r="K23" s="28"/>
      <c r="L23" s="28"/>
      <c r="M23" s="28"/>
      <c r="N23" s="28"/>
    </row>
    <row r="24" spans="1:14" ht="15" customHeight="1">
      <c r="A24" s="1"/>
      <c r="B24" s="1"/>
      <c r="C24" s="1"/>
      <c r="D24" s="1"/>
      <c r="E24" s="1"/>
      <c r="F24" s="1"/>
      <c r="G24" s="1"/>
      <c r="H24" s="1"/>
      <c r="I24" s="1"/>
      <c r="J24" s="28"/>
      <c r="K24" s="28"/>
      <c r="L24" s="28"/>
      <c r="M24" s="28"/>
      <c r="N24" s="28"/>
    </row>
    <row r="25" spans="1:14" ht="15" customHeight="1">
      <c r="A25" s="1"/>
      <c r="B25" s="1"/>
      <c r="C25" s="1"/>
      <c r="D25" s="1"/>
      <c r="E25" s="1"/>
      <c r="F25" s="1"/>
      <c r="G25" s="1"/>
      <c r="H25" s="1"/>
      <c r="I25" s="1"/>
      <c r="J25" s="28"/>
      <c r="K25" s="28"/>
      <c r="L25" s="28"/>
      <c r="M25" s="28"/>
      <c r="N25" s="28"/>
    </row>
    <row r="26" spans="1:14" ht="15" customHeight="1">
      <c r="A26" s="1"/>
      <c r="B26" s="1"/>
      <c r="C26" s="1"/>
      <c r="D26" s="1"/>
      <c r="E26" s="1"/>
      <c r="F26" s="1"/>
      <c r="G26" s="1"/>
      <c r="H26" s="1"/>
      <c r="I26" s="1"/>
      <c r="J26" s="28"/>
      <c r="K26" s="28"/>
      <c r="L26" s="28"/>
      <c r="M26" s="28"/>
      <c r="N26" s="28"/>
    </row>
    <row r="27" spans="1:14" ht="15" customHeight="1">
      <c r="A27" s="1"/>
      <c r="B27" s="1"/>
      <c r="C27" s="1"/>
      <c r="D27" s="1"/>
      <c r="E27" s="1"/>
      <c r="F27" s="1"/>
      <c r="G27" s="1"/>
      <c r="H27" s="1"/>
      <c r="I27" s="1"/>
      <c r="J27" s="28"/>
      <c r="K27" s="28"/>
      <c r="L27" s="28"/>
      <c r="M27" s="28"/>
      <c r="N27" s="28"/>
    </row>
    <row r="28" spans="1:14" ht="15" customHeight="1">
      <c r="A28" s="1"/>
      <c r="B28" s="1"/>
      <c r="C28" s="1"/>
      <c r="D28" s="1"/>
      <c r="E28" s="1"/>
      <c r="F28" s="1"/>
      <c r="G28" s="1"/>
      <c r="H28" s="1"/>
      <c r="I28" s="1"/>
      <c r="J28" s="28"/>
      <c r="K28" s="28"/>
      <c r="L28" s="28"/>
      <c r="M28" s="28"/>
      <c r="N28" s="28"/>
    </row>
  </sheetData>
  <mergeCells count="10">
    <mergeCell ref="J23:N28"/>
    <mergeCell ref="A1:N2"/>
    <mergeCell ref="A4:C4"/>
    <mergeCell ref="A5:C6"/>
    <mergeCell ref="E4:G4"/>
    <mergeCell ref="E5:G6"/>
    <mergeCell ref="I4:K4"/>
    <mergeCell ref="I5:K6"/>
    <mergeCell ref="M4:N4"/>
    <mergeCell ref="M5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Formulas</vt:lpstr>
      <vt:lpstr>Agents</vt:lpstr>
      <vt:lpstr>Raw Tickets</vt:lpstr>
      <vt:lpstr>Ticket Analysis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Sandhya sati</cp:lastModifiedBy>
  <dcterms:modified xsi:type="dcterms:W3CDTF">2026-09-03T14:48:04Z</dcterms:modified>
</cp:coreProperties>
</file>